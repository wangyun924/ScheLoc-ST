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10d422f39e4f16c/WrittingPaper/ScheLoc-ST/投稿/EJOR/EJOR二修-2026.5.17/"/>
    </mc:Choice>
  </mc:AlternateContent>
  <xr:revisionPtr revIDLastSave="17" documentId="13_ncr:1_{EBF4D917-A98B-44F2-95F7-5BBAE87FB071}" xr6:coauthVersionLast="47" xr6:coauthVersionMax="47" xr10:uidLastSave="{2764C04F-70A6-410E-A4B8-75D6E7E35BAE}"/>
  <bookViews>
    <workbookView xWindow="-93" yWindow="-93" windowWidth="17253" windowHeight="10133" tabRatio="764" firstSheet="5" activeTab="7" xr2:uid="{00000000-000D-0000-FFFF-FFFF00000000}"/>
  </bookViews>
  <sheets>
    <sheet name="Detailed results of Fig.2." sheetId="8" r:id="rId1"/>
    <sheet name="Detailed results of Table 3" sheetId="2" r:id="rId2"/>
    <sheet name="Detailed results of Table 4" sheetId="5" r:id="rId3"/>
    <sheet name="Detailed results of Fig.3." sheetId="3" r:id="rId4"/>
    <sheet name="Detailed results of Table 5" sheetId="7" r:id="rId5"/>
    <sheet name="Detailed results of Fig.4." sheetId="4" r:id="rId6"/>
    <sheet name="Detailed results of Table 6" sheetId="6" r:id="rId7"/>
    <sheet name="Detailed results of Tables 7-9" sheetId="1" r:id="rId8"/>
  </sheets>
  <externalReferences>
    <externalReference r:id="rId9"/>
    <externalReference r:id="rId10"/>
  </externalReferences>
  <calcPr calcId="191029"/>
</workbook>
</file>

<file path=xl/calcChain.xml><?xml version="1.0" encoding="utf-8"?>
<calcChain xmlns="http://schemas.openxmlformats.org/spreadsheetml/2006/main">
  <c r="F27" i="2" l="1"/>
  <c r="G27" i="2"/>
  <c r="H27" i="2"/>
  <c r="I27" i="2"/>
  <c r="E27" i="2"/>
  <c r="Q103" i="1"/>
  <c r="P103" i="1"/>
  <c r="O103" i="1"/>
  <c r="K103" i="1"/>
  <c r="J103" i="1"/>
  <c r="I103" i="1"/>
  <c r="H103" i="1"/>
  <c r="G103" i="1"/>
  <c r="F103" i="1"/>
  <c r="Q71" i="1"/>
  <c r="P71" i="1"/>
  <c r="O71" i="1"/>
  <c r="N71" i="1"/>
  <c r="M71" i="1"/>
  <c r="L71" i="1"/>
  <c r="K71" i="1"/>
  <c r="J71" i="1"/>
  <c r="I71" i="1"/>
  <c r="H71" i="1"/>
  <c r="G71" i="1"/>
  <c r="F71" i="1"/>
  <c r="Q30" i="1"/>
  <c r="P30" i="1"/>
  <c r="O30" i="1"/>
  <c r="N30" i="1"/>
  <c r="M30" i="1"/>
  <c r="L30" i="1"/>
  <c r="K30" i="1"/>
  <c r="J30" i="1"/>
  <c r="I30" i="1"/>
  <c r="H30" i="1"/>
  <c r="G30" i="1"/>
  <c r="F30" i="1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I22" i="3"/>
  <c r="I21" i="3"/>
  <c r="I20" i="3"/>
  <c r="I19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</calcChain>
</file>

<file path=xl/sharedStrings.xml><?xml version="1.0" encoding="utf-8"?>
<sst xmlns="http://schemas.openxmlformats.org/spreadsheetml/2006/main" count="593" uniqueCount="102">
  <si>
    <t>Nbj</t>
  </si>
  <si>
    <t>Nbl</t>
  </si>
  <si>
    <t>Nbm</t>
  </si>
  <si>
    <t>GAP(%)</t>
  </si>
  <si>
    <t>CPU_time</t>
  </si>
  <si>
    <t>ben0_0</t>
  </si>
  <si>
    <t>ben0_1</t>
  </si>
  <si>
    <t>ben0_2</t>
  </si>
  <si>
    <t>ben0_3</t>
  </si>
  <si>
    <t>ben0_4</t>
  </si>
  <si>
    <t>ben1_0</t>
  </si>
  <si>
    <t>ben1_1</t>
  </si>
  <si>
    <t>ben1_2</t>
  </si>
  <si>
    <t>ben1_3</t>
  </si>
  <si>
    <t>ben1_4</t>
  </si>
  <si>
    <t>ben2_0</t>
  </si>
  <si>
    <t>ben2_1</t>
  </si>
  <si>
    <t>ben2_2</t>
  </si>
  <si>
    <t>ben2_3</t>
  </si>
  <si>
    <t>ben2_4</t>
  </si>
  <si>
    <t>ben3_0</t>
  </si>
  <si>
    <t>ben3_1</t>
  </si>
  <si>
    <t>ben3_2</t>
  </si>
  <si>
    <t>ben3_3</t>
  </si>
  <si>
    <t>ben3_4</t>
  </si>
  <si>
    <t>ben4_0</t>
  </si>
  <si>
    <t>ben4_1</t>
  </si>
  <si>
    <t>ben4_2</t>
  </si>
  <si>
    <t>ben4_3</t>
  </si>
  <si>
    <t>ben4_4</t>
  </si>
  <si>
    <t>LB[1]</t>
  </si>
  <si>
    <t>LB[2]</t>
  </si>
  <si>
    <t>LB[3]</t>
  </si>
  <si>
    <t>LB[4]</t>
  </si>
  <si>
    <t>LB[5]</t>
  </si>
  <si>
    <t>Average</t>
  </si>
  <si>
    <t>FLBBD/UBLB</t>
  </si>
  <si>
    <t>FLBBD/UB</t>
  </si>
  <si>
    <t>FLBBD/LB</t>
  </si>
  <si>
    <t>FLBBD</t>
  </si>
  <si>
    <t>Opt_gap</t>
  </si>
  <si>
    <t>Cmax</t>
  </si>
  <si>
    <t>Gap(%)</t>
  </si>
  <si>
    <t>Ncall</t>
  </si>
  <si>
    <t>Ncut</t>
  </si>
  <si>
    <t>Time</t>
  </si>
  <si>
    <t>No. of iter.</t>
  </si>
  <si>
    <t>Obj</t>
  </si>
  <si>
    <t>Existing LBBD for ScheLoc</t>
  </si>
  <si>
    <t>Adapted FLBBD for ScheLoc</t>
  </si>
  <si>
    <t>Opt_gap:</t>
  </si>
  <si>
    <t>ben0_5</t>
  </si>
  <si>
    <t>ben0_6</t>
  </si>
  <si>
    <t>ben0_7</t>
  </si>
  <si>
    <t>ben0_8</t>
  </si>
  <si>
    <t>ben0_9</t>
  </si>
  <si>
    <t>ben1_5</t>
  </si>
  <si>
    <t>ben1_6</t>
  </si>
  <si>
    <t>ben1_7</t>
  </si>
  <si>
    <t>ben1_8</t>
  </si>
  <si>
    <t>ben1_9</t>
  </si>
  <si>
    <t>ben2_5</t>
  </si>
  <si>
    <t>ben2_6</t>
  </si>
  <si>
    <t>ben2_7</t>
  </si>
  <si>
    <t>ben2_8</t>
  </si>
  <si>
    <t>ben2_9</t>
  </si>
  <si>
    <t>ben3_5</t>
  </si>
  <si>
    <t>ben3_6</t>
  </si>
  <si>
    <t>ben3_7</t>
  </si>
  <si>
    <t>ben3_8</t>
  </si>
  <si>
    <t>ben3_9</t>
  </si>
  <si>
    <t>ben4_5</t>
  </si>
  <si>
    <t>ben4_6</t>
  </si>
  <si>
    <t>ben4_7</t>
  </si>
  <si>
    <t>ben4_8</t>
  </si>
  <si>
    <t>ben4_9</t>
  </si>
  <si>
    <t>The individual results of each small-sized instance</t>
  </si>
  <si>
    <t>CPLEX</t>
  </si>
  <si>
    <t>CPLEX+</t>
  </si>
  <si>
    <t>BD</t>
  </si>
  <si>
    <t>The individual results of each medium-sized instance</t>
  </si>
  <si>
    <t>-</t>
  </si>
  <si>
    <t>ben5_0</t>
  </si>
  <si>
    <t>ben5_1</t>
  </si>
  <si>
    <t>ben5_2</t>
  </si>
  <si>
    <t>ben5_3</t>
  </si>
  <si>
    <t>ben5_4</t>
  </si>
  <si>
    <t>ben6_0</t>
  </si>
  <si>
    <t>ben6_1</t>
  </si>
  <si>
    <t>ben6_2</t>
  </si>
  <si>
    <t>ben6_3</t>
  </si>
  <si>
    <t>ben6_4</t>
  </si>
  <si>
    <t>The individual results of each large-sized instance</t>
  </si>
  <si>
    <t xml:space="preserve"> FLBBDV1</t>
    <phoneticPr fontId="5" type="noConversion"/>
  </si>
  <si>
    <t xml:space="preserve"> FLBBDV2</t>
    <phoneticPr fontId="5" type="noConversion"/>
  </si>
  <si>
    <t xml:space="preserve"> FLBBD</t>
    <phoneticPr fontId="5" type="noConversion"/>
  </si>
  <si>
    <t>Cmax</t>
    <phoneticPr fontId="5" type="noConversion"/>
  </si>
  <si>
    <t>FLBBD-1800s</t>
    <phoneticPr fontId="5" type="noConversion"/>
  </si>
  <si>
    <t>FLBBD-3600s</t>
    <phoneticPr fontId="5" type="noConversion"/>
  </si>
  <si>
    <t>FLBBD-10800s</t>
    <phoneticPr fontId="5" type="noConversion"/>
  </si>
  <si>
    <t>FLBBD_CP</t>
    <phoneticPr fontId="5" type="noConversion"/>
  </si>
  <si>
    <t>FLBBD_MILP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</si>
</sst>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_ "/>
    <numFmt numFmtId="178" formatCode="0.0_ "/>
  </numFmts>
  <fonts count="7" x14ac:knownFonts="1">
    <font>
      <sz val="11"/>
      <color theme="1"/>
      <name val="宋体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9" tint="0.39994506668294322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176" fontId="0" fillId="0" borderId="2" xfId="0" applyNumberFormat="1" applyBorder="1" applyAlignment="1">
      <alignment horizontal="left"/>
    </xf>
    <xf numFmtId="177" fontId="3" fillId="0" borderId="0" xfId="0" applyNumberFormat="1" applyFont="1" applyAlignment="1">
      <alignment horizontal="center"/>
    </xf>
    <xf numFmtId="177" fontId="0" fillId="0" borderId="2" xfId="0" applyNumberFormat="1" applyBorder="1" applyAlignment="1">
      <alignment horizontal="left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horizontal="left"/>
    </xf>
    <xf numFmtId="177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left"/>
    </xf>
    <xf numFmtId="176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178" fontId="0" fillId="0" borderId="0" xfId="0" applyNumberFormat="1" applyAlignment="1"/>
    <xf numFmtId="49" fontId="0" fillId="0" borderId="0" xfId="0" applyNumberForma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10d422f39e4f16c\Programming\ScheLoc-ST\record\Two-indexed-SingleObj\LBBD-CutTest\the-effectiveness-of-sp-model\&#26032;&#24314;%20XLSX%20&#24037;&#20316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2024.9.2fench\WangYun\Programme\ScheLoc-setup-times\record\Two-indexed-SingleObj\&#35770;&#25991;&#20013;&#25152;&#26174;&#31034;&#30340;&#20363;&#23376;&#32467;&#26524;\LBBD&#21508;&#20010;&#37096;&#20998;&#27979;&#35797;\different-cut-test\&#35843;&#25972;&#21512;&#24182;&#21518;&#30340;cut&#27979;&#35797;&#32467;&#26524;.xlsx" TargetMode="External"/><Relationship Id="rId1" Type="http://schemas.openxmlformats.org/officeDocument/2006/relationships/externalLinkPath" Target="file:///F:\2024.9.2fench\WangYun\Programme\ScheLoc-setup-times\record\Two-indexed-SingleObj\&#35770;&#25991;&#20013;&#25152;&#26174;&#31034;&#30340;&#20363;&#23376;&#32467;&#26524;\LBBD&#21508;&#20010;&#37096;&#20998;&#27979;&#35797;\different-cut-test\&#35843;&#25972;&#21512;&#24182;&#21518;&#30340;cut&#27979;&#35797;&#32467;&#2652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整理总结"/>
      <sheetName val="1800s-FLBBD_CP"/>
      <sheetName val="3600-FLBBD_CP"/>
      <sheetName val="5400s-FLBBD_CP"/>
      <sheetName val="7200s-FLBBD_CP"/>
      <sheetName val="10800s-FLBBD_CP"/>
      <sheetName val="3600-FLBBD_MILP"/>
      <sheetName val="7200s-FLBBD_MILP"/>
      <sheetName val="10800-FLBBD_MILP"/>
      <sheetName val="EJOR-7200Single-Small-LBBD-summ"/>
      <sheetName val="新建 XLSX 工作表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Loc-ST-Small-LBBD+OnlyOptCu"/>
      <sheetName val="ScheLoc-ST-Small-LBBD+OptCut+We"/>
      <sheetName val="Sheet1"/>
      <sheetName val="ScheLoc-ST-Small-Complete_LBBD-"/>
      <sheetName val="调整合并后的cut测试结果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88-E683-4177-A4C4-AF30F5D64FEE}">
  <dimension ref="A1:M27"/>
  <sheetViews>
    <sheetView topLeftCell="B1" zoomScale="85" zoomScaleNormal="85" workbookViewId="0">
      <selection activeCell="K9" sqref="K9"/>
    </sheetView>
  </sheetViews>
  <sheetFormatPr defaultRowHeight="14.35" x14ac:dyDescent="0.4"/>
  <cols>
    <col min="2" max="13" width="8.9375" style="19"/>
  </cols>
  <sheetData>
    <row r="1" spans="1:13" x14ac:dyDescent="0.4">
      <c r="E1" s="33" t="s">
        <v>97</v>
      </c>
      <c r="F1" s="34"/>
      <c r="G1" s="34"/>
      <c r="H1" s="33" t="s">
        <v>98</v>
      </c>
      <c r="I1" s="33"/>
      <c r="J1" s="33"/>
      <c r="K1" s="33" t="s">
        <v>99</v>
      </c>
      <c r="L1" s="33"/>
      <c r="M1" s="33"/>
    </row>
    <row r="2" spans="1:13" x14ac:dyDescent="0.4">
      <c r="B2" s="19" t="s">
        <v>0</v>
      </c>
      <c r="C2" s="19" t="s">
        <v>1</v>
      </c>
      <c r="D2" s="19" t="s">
        <v>2</v>
      </c>
      <c r="E2" s="28" t="s">
        <v>96</v>
      </c>
      <c r="F2" s="19" t="s">
        <v>50</v>
      </c>
      <c r="G2" s="19" t="s">
        <v>4</v>
      </c>
      <c r="H2" s="28" t="s">
        <v>96</v>
      </c>
      <c r="I2" s="19" t="s">
        <v>50</v>
      </c>
      <c r="J2" s="19" t="s">
        <v>4</v>
      </c>
      <c r="K2" s="28" t="s">
        <v>96</v>
      </c>
      <c r="L2" s="19" t="s">
        <v>50</v>
      </c>
      <c r="M2" s="19" t="s">
        <v>4</v>
      </c>
    </row>
    <row r="3" spans="1:13" x14ac:dyDescent="0.4">
      <c r="A3" t="s">
        <v>5</v>
      </c>
      <c r="B3" s="19">
        <v>5</v>
      </c>
      <c r="C3" s="19">
        <v>4</v>
      </c>
      <c r="D3" s="19">
        <v>2</v>
      </c>
      <c r="E3" s="19">
        <v>169</v>
      </c>
      <c r="F3" s="19">
        <v>0</v>
      </c>
      <c r="G3" s="19">
        <v>0.671875</v>
      </c>
      <c r="H3" s="19">
        <v>169</v>
      </c>
      <c r="I3" s="19">
        <v>0</v>
      </c>
      <c r="J3" s="19">
        <v>0.70299999999999996</v>
      </c>
      <c r="K3" s="19">
        <v>169</v>
      </c>
      <c r="L3" s="19">
        <v>0</v>
      </c>
      <c r="M3" s="19">
        <v>0.53125</v>
      </c>
    </row>
    <row r="4" spans="1:13" x14ac:dyDescent="0.4">
      <c r="A4" t="s">
        <v>6</v>
      </c>
      <c r="B4" s="19">
        <v>5</v>
      </c>
      <c r="C4" s="19">
        <v>6</v>
      </c>
      <c r="D4" s="19">
        <v>3</v>
      </c>
      <c r="E4" s="19">
        <v>164</v>
      </c>
      <c r="F4" s="19">
        <v>0</v>
      </c>
      <c r="G4" s="19">
        <v>1.375</v>
      </c>
      <c r="H4" s="19">
        <v>164</v>
      </c>
      <c r="I4" s="19">
        <v>0</v>
      </c>
      <c r="J4" s="19">
        <v>1.0309999999999999</v>
      </c>
      <c r="K4" s="19">
        <v>164</v>
      </c>
      <c r="L4" s="19">
        <v>0</v>
      </c>
      <c r="M4" s="19">
        <v>1.484375</v>
      </c>
    </row>
    <row r="5" spans="1:13" x14ac:dyDescent="0.4">
      <c r="A5" t="s">
        <v>7</v>
      </c>
      <c r="B5" s="19">
        <v>5</v>
      </c>
      <c r="C5" s="19">
        <v>8</v>
      </c>
      <c r="D5" s="19">
        <v>4</v>
      </c>
      <c r="E5" s="19">
        <v>122</v>
      </c>
      <c r="F5" s="19">
        <v>0</v>
      </c>
      <c r="G5" s="19">
        <v>9.375E-2</v>
      </c>
      <c r="H5" s="19">
        <v>122</v>
      </c>
      <c r="I5" s="19">
        <v>0</v>
      </c>
      <c r="J5" s="19">
        <v>0.375</v>
      </c>
      <c r="K5" s="19">
        <v>122</v>
      </c>
      <c r="L5" s="19">
        <v>0</v>
      </c>
      <c r="M5" s="19">
        <v>0.328125</v>
      </c>
    </row>
    <row r="6" spans="1:13" x14ac:dyDescent="0.4">
      <c r="A6" t="s">
        <v>8</v>
      </c>
      <c r="B6" s="19">
        <v>5</v>
      </c>
      <c r="C6" s="19">
        <v>10</v>
      </c>
      <c r="D6" s="19">
        <v>5</v>
      </c>
      <c r="E6" s="19">
        <v>107</v>
      </c>
      <c r="F6" s="19">
        <v>0</v>
      </c>
      <c r="G6" s="19">
        <v>0.609375</v>
      </c>
      <c r="H6" s="19">
        <v>107</v>
      </c>
      <c r="I6" s="19">
        <v>0</v>
      </c>
      <c r="J6" s="19">
        <v>0.42199999999999999</v>
      </c>
      <c r="K6" s="19">
        <v>107</v>
      </c>
      <c r="L6" s="19">
        <v>0</v>
      </c>
      <c r="M6" s="19">
        <v>0.203125</v>
      </c>
    </row>
    <row r="7" spans="1:13" x14ac:dyDescent="0.4">
      <c r="A7" t="s">
        <v>9</v>
      </c>
      <c r="B7" s="19">
        <v>5</v>
      </c>
      <c r="C7" s="19">
        <v>12</v>
      </c>
      <c r="D7" s="19">
        <v>6</v>
      </c>
      <c r="E7" s="19">
        <v>103</v>
      </c>
      <c r="F7" s="19">
        <v>0</v>
      </c>
      <c r="G7" s="19">
        <v>0.578125</v>
      </c>
      <c r="H7" s="19">
        <v>103</v>
      </c>
      <c r="I7" s="19">
        <v>0</v>
      </c>
      <c r="J7" s="19">
        <v>0.67200000000000004</v>
      </c>
      <c r="K7" s="19">
        <v>103</v>
      </c>
      <c r="L7" s="19">
        <v>0</v>
      </c>
      <c r="M7" s="19">
        <v>0.78125</v>
      </c>
    </row>
    <row r="8" spans="1:13" x14ac:dyDescent="0.4">
      <c r="A8" t="s">
        <v>10</v>
      </c>
      <c r="B8" s="19">
        <v>10</v>
      </c>
      <c r="C8" s="19">
        <v>4</v>
      </c>
      <c r="D8" s="19">
        <v>2</v>
      </c>
      <c r="E8" s="19">
        <v>350</v>
      </c>
      <c r="F8" s="19">
        <v>0</v>
      </c>
      <c r="G8" s="19">
        <v>31.515625</v>
      </c>
      <c r="H8" s="19">
        <v>350</v>
      </c>
      <c r="I8" s="19">
        <v>0</v>
      </c>
      <c r="J8" s="19">
        <v>28.905999999999999</v>
      </c>
      <c r="K8" s="19">
        <v>350</v>
      </c>
      <c r="L8" s="19">
        <v>0</v>
      </c>
      <c r="M8" s="19">
        <v>29.828125</v>
      </c>
    </row>
    <row r="9" spans="1:13" x14ac:dyDescent="0.4">
      <c r="A9" t="s">
        <v>11</v>
      </c>
      <c r="B9" s="19">
        <v>10</v>
      </c>
      <c r="C9" s="19">
        <v>6</v>
      </c>
      <c r="D9" s="19">
        <v>3</v>
      </c>
      <c r="E9" s="19">
        <v>228</v>
      </c>
      <c r="F9" s="19">
        <v>0</v>
      </c>
      <c r="G9" s="19">
        <v>11.484375</v>
      </c>
      <c r="H9" s="19">
        <v>228</v>
      </c>
      <c r="I9" s="19">
        <v>0</v>
      </c>
      <c r="J9" s="19">
        <v>10.016</v>
      </c>
      <c r="K9" s="19">
        <v>228</v>
      </c>
      <c r="L9" s="19">
        <v>0</v>
      </c>
      <c r="M9" s="19">
        <v>10.421875</v>
      </c>
    </row>
    <row r="10" spans="1:13" x14ac:dyDescent="0.4">
      <c r="A10" t="s">
        <v>12</v>
      </c>
      <c r="B10" s="19">
        <v>10</v>
      </c>
      <c r="C10" s="19">
        <v>8</v>
      </c>
      <c r="D10" s="19">
        <v>4</v>
      </c>
      <c r="E10" s="19">
        <v>178</v>
      </c>
      <c r="F10" s="19">
        <v>6.4999999999999994E-5</v>
      </c>
      <c r="G10" s="19">
        <v>14</v>
      </c>
      <c r="H10" s="19">
        <v>178</v>
      </c>
      <c r="I10" s="19">
        <v>0</v>
      </c>
      <c r="J10" s="19">
        <v>12.952999999999999</v>
      </c>
      <c r="K10" s="19">
        <v>178</v>
      </c>
      <c r="L10" s="19">
        <v>6.4999999999999994E-5</v>
      </c>
      <c r="M10" s="19">
        <v>13.90625</v>
      </c>
    </row>
    <row r="11" spans="1:13" x14ac:dyDescent="0.4">
      <c r="A11" t="s">
        <v>13</v>
      </c>
      <c r="B11" s="19">
        <v>10</v>
      </c>
      <c r="C11" s="19">
        <v>10</v>
      </c>
      <c r="D11" s="19">
        <v>5</v>
      </c>
      <c r="E11" s="19">
        <v>153</v>
      </c>
      <c r="F11" s="19">
        <v>0</v>
      </c>
      <c r="G11" s="19">
        <v>13.359375</v>
      </c>
      <c r="H11" s="19">
        <v>153</v>
      </c>
      <c r="I11" s="19">
        <v>0</v>
      </c>
      <c r="J11" s="19">
        <v>15.327999999999999</v>
      </c>
      <c r="K11" s="19">
        <v>153</v>
      </c>
      <c r="L11" s="19">
        <v>0</v>
      </c>
      <c r="M11" s="19">
        <v>13.71875</v>
      </c>
    </row>
    <row r="12" spans="1:13" x14ac:dyDescent="0.4">
      <c r="A12" t="s">
        <v>14</v>
      </c>
      <c r="B12" s="19">
        <v>10</v>
      </c>
      <c r="C12" s="19">
        <v>12</v>
      </c>
      <c r="D12" s="19">
        <v>6</v>
      </c>
      <c r="E12" s="19">
        <v>160</v>
      </c>
      <c r="F12" s="19">
        <v>9.8999999999999994E-5</v>
      </c>
      <c r="G12" s="19">
        <v>75.703125</v>
      </c>
      <c r="H12" s="19">
        <v>160</v>
      </c>
      <c r="I12" s="19">
        <v>0</v>
      </c>
      <c r="J12" s="19">
        <v>108.422</v>
      </c>
      <c r="K12" s="19">
        <v>160</v>
      </c>
      <c r="L12" s="19">
        <v>9.8999999999999994E-5</v>
      </c>
      <c r="M12" s="19">
        <v>72.96875</v>
      </c>
    </row>
    <row r="13" spans="1:13" x14ac:dyDescent="0.4">
      <c r="A13" t="s">
        <v>15</v>
      </c>
      <c r="B13" s="19">
        <v>15</v>
      </c>
      <c r="C13" s="19">
        <v>4</v>
      </c>
      <c r="D13" s="19">
        <v>2</v>
      </c>
      <c r="E13" s="19">
        <v>587</v>
      </c>
      <c r="F13" s="19">
        <v>0</v>
      </c>
      <c r="G13" s="19">
        <v>456.640625</v>
      </c>
      <c r="H13" s="19">
        <v>587</v>
      </c>
      <c r="I13" s="19">
        <v>0</v>
      </c>
      <c r="J13" s="19">
        <v>289.40600000000001</v>
      </c>
      <c r="K13" s="19">
        <v>587</v>
      </c>
      <c r="L13" s="19">
        <v>0</v>
      </c>
      <c r="M13" s="19">
        <v>402.125</v>
      </c>
    </row>
    <row r="14" spans="1:13" x14ac:dyDescent="0.4">
      <c r="A14" t="s">
        <v>16</v>
      </c>
      <c r="B14" s="19">
        <v>15</v>
      </c>
      <c r="C14" s="19">
        <v>6</v>
      </c>
      <c r="D14" s="19">
        <v>3</v>
      </c>
      <c r="E14" s="19">
        <v>394</v>
      </c>
      <c r="F14" s="19">
        <v>7.6000000000000004E-5</v>
      </c>
      <c r="G14" s="19">
        <v>304.65625</v>
      </c>
      <c r="H14" s="19">
        <v>394</v>
      </c>
      <c r="I14" s="19">
        <v>0</v>
      </c>
      <c r="J14" s="19">
        <v>330.26600000000002</v>
      </c>
      <c r="K14" s="19">
        <v>394</v>
      </c>
      <c r="L14" s="19">
        <v>7.6000000000000004E-5</v>
      </c>
      <c r="M14" s="19">
        <v>280.015625</v>
      </c>
    </row>
    <row r="15" spans="1:13" x14ac:dyDescent="0.4">
      <c r="A15" t="s">
        <v>17</v>
      </c>
      <c r="B15" s="19">
        <v>15</v>
      </c>
      <c r="C15" s="19">
        <v>8</v>
      </c>
      <c r="D15" s="19">
        <v>4</v>
      </c>
      <c r="E15" s="19">
        <v>297</v>
      </c>
      <c r="F15" s="19">
        <v>9.8999999999999994E-5</v>
      </c>
      <c r="G15" s="19">
        <v>673.734375</v>
      </c>
      <c r="H15" s="19">
        <v>297</v>
      </c>
      <c r="I15" s="19">
        <v>0</v>
      </c>
      <c r="J15" s="19">
        <v>819.23400000000004</v>
      </c>
      <c r="K15" s="19">
        <v>297</v>
      </c>
      <c r="L15" s="19">
        <v>9.8999999999999994E-5</v>
      </c>
      <c r="M15" s="19">
        <v>671.734375</v>
      </c>
    </row>
    <row r="16" spans="1:13" x14ac:dyDescent="0.4">
      <c r="A16" t="s">
        <v>18</v>
      </c>
      <c r="B16" s="19">
        <v>15</v>
      </c>
      <c r="C16" s="19">
        <v>10</v>
      </c>
      <c r="D16" s="19">
        <v>5</v>
      </c>
      <c r="E16" s="19">
        <v>210</v>
      </c>
      <c r="F16" s="19">
        <v>9.7999999999999997E-5</v>
      </c>
      <c r="G16" s="19">
        <v>1322.625</v>
      </c>
      <c r="H16" s="19">
        <v>210</v>
      </c>
      <c r="I16" s="19">
        <v>0</v>
      </c>
      <c r="J16" s="19">
        <v>1773.703</v>
      </c>
      <c r="K16" s="19">
        <v>210</v>
      </c>
      <c r="L16" s="19">
        <v>9.7999999999999997E-5</v>
      </c>
      <c r="M16" s="19">
        <v>1286.703125</v>
      </c>
    </row>
    <row r="17" spans="1:13" x14ac:dyDescent="0.4">
      <c r="A17" t="s">
        <v>19</v>
      </c>
      <c r="B17" s="19">
        <v>15</v>
      </c>
      <c r="C17" s="19">
        <v>12</v>
      </c>
      <c r="D17" s="19">
        <v>6</v>
      </c>
      <c r="E17" s="19">
        <v>180</v>
      </c>
      <c r="F17" s="19">
        <v>5.5560000000000002E-3</v>
      </c>
      <c r="G17" s="19">
        <v>1802.125</v>
      </c>
      <c r="H17" s="19">
        <v>180</v>
      </c>
      <c r="I17" s="19">
        <v>0</v>
      </c>
      <c r="J17" s="19">
        <v>2284.1880000000001</v>
      </c>
      <c r="K17" s="19">
        <v>180</v>
      </c>
      <c r="L17" s="19">
        <v>9.8999999999999994E-5</v>
      </c>
      <c r="M17" s="19">
        <v>1942.203125</v>
      </c>
    </row>
    <row r="18" spans="1:13" x14ac:dyDescent="0.4">
      <c r="A18" t="s">
        <v>20</v>
      </c>
      <c r="B18" s="19">
        <v>20</v>
      </c>
      <c r="C18" s="19">
        <v>4</v>
      </c>
      <c r="D18" s="19">
        <v>2</v>
      </c>
      <c r="E18" s="19">
        <v>717</v>
      </c>
      <c r="F18" s="19">
        <v>1.9526000000000002E-2</v>
      </c>
      <c r="G18" s="19">
        <v>1876.796875</v>
      </c>
      <c r="H18" s="19">
        <v>715</v>
      </c>
      <c r="I18" s="19">
        <v>1.7000000000000001E-2</v>
      </c>
      <c r="J18" s="19">
        <v>3634.078</v>
      </c>
      <c r="K18" s="19">
        <v>715</v>
      </c>
      <c r="L18" s="19">
        <v>1.6783200000000002E-2</v>
      </c>
      <c r="M18" s="19">
        <v>10850.84375</v>
      </c>
    </row>
    <row r="19" spans="1:13" x14ac:dyDescent="0.4">
      <c r="A19" t="s">
        <v>21</v>
      </c>
      <c r="B19" s="19">
        <v>20</v>
      </c>
      <c r="C19" s="19">
        <v>6</v>
      </c>
      <c r="D19" s="19">
        <v>3</v>
      </c>
      <c r="E19" s="19">
        <v>444</v>
      </c>
      <c r="F19" s="19">
        <v>3.5284999999999997E-2</v>
      </c>
      <c r="G19" s="19">
        <v>1803.6875</v>
      </c>
      <c r="H19" s="19">
        <v>440</v>
      </c>
      <c r="I19" s="19">
        <v>2.5807500000000001E-2</v>
      </c>
      <c r="J19" s="19">
        <v>3600.890625</v>
      </c>
      <c r="K19" s="19">
        <v>440</v>
      </c>
      <c r="L19" s="19">
        <v>2.5758E-2</v>
      </c>
      <c r="M19" s="19">
        <v>10802.546875</v>
      </c>
    </row>
    <row r="20" spans="1:13" x14ac:dyDescent="0.4">
      <c r="A20" t="s">
        <v>22</v>
      </c>
      <c r="B20" s="19">
        <v>20</v>
      </c>
      <c r="C20" s="19">
        <v>8</v>
      </c>
      <c r="D20" s="19">
        <v>4</v>
      </c>
      <c r="E20" s="19">
        <v>392</v>
      </c>
      <c r="F20" s="19">
        <v>2.673E-2</v>
      </c>
      <c r="G20" s="19">
        <v>1801.3125</v>
      </c>
      <c r="H20" s="19">
        <v>391</v>
      </c>
      <c r="I20" s="19">
        <v>2.1739000000000001E-2</v>
      </c>
      <c r="J20" s="19">
        <v>3600.90625</v>
      </c>
      <c r="K20" s="19">
        <v>392</v>
      </c>
      <c r="L20" s="19">
        <v>2.1045999999999999E-2</v>
      </c>
      <c r="M20" s="19">
        <v>10809.03125</v>
      </c>
    </row>
    <row r="21" spans="1:13" x14ac:dyDescent="0.4">
      <c r="A21" t="s">
        <v>23</v>
      </c>
      <c r="B21" s="19">
        <v>20</v>
      </c>
      <c r="C21" s="19">
        <v>10</v>
      </c>
      <c r="D21" s="19">
        <v>5</v>
      </c>
      <c r="E21" s="19">
        <v>287</v>
      </c>
      <c r="F21" s="19">
        <v>4.2508999999999998E-2</v>
      </c>
      <c r="G21" s="19">
        <v>1801.359375</v>
      </c>
      <c r="H21" s="19">
        <v>284</v>
      </c>
      <c r="I21" s="19">
        <v>2.9000000000000001E-2</v>
      </c>
      <c r="J21" s="19">
        <v>3601.8589999999999</v>
      </c>
      <c r="K21" s="19">
        <v>284</v>
      </c>
      <c r="L21" s="19">
        <v>2.5106E-2</v>
      </c>
      <c r="M21" s="19">
        <v>10813.6875</v>
      </c>
    </row>
    <row r="22" spans="1:13" x14ac:dyDescent="0.4">
      <c r="A22" t="s">
        <v>24</v>
      </c>
      <c r="B22" s="19">
        <v>20</v>
      </c>
      <c r="C22" s="19">
        <v>12</v>
      </c>
      <c r="D22" s="19">
        <v>6</v>
      </c>
      <c r="E22" s="19">
        <v>233</v>
      </c>
      <c r="F22" s="19">
        <v>3.5764999999999998E-2</v>
      </c>
      <c r="G22" s="19">
        <v>1802.21875</v>
      </c>
      <c r="H22" s="19">
        <v>233</v>
      </c>
      <c r="I22" s="19">
        <v>3.3000000000000002E-2</v>
      </c>
      <c r="J22" s="19">
        <v>3603.172</v>
      </c>
      <c r="K22" s="19">
        <v>233</v>
      </c>
      <c r="L22" s="19">
        <v>3.0306E-2</v>
      </c>
      <c r="M22" s="19">
        <v>10821.515625</v>
      </c>
    </row>
    <row r="23" spans="1:13" x14ac:dyDescent="0.4">
      <c r="A23" t="s">
        <v>25</v>
      </c>
      <c r="B23" s="19">
        <v>25</v>
      </c>
      <c r="C23" s="19">
        <v>4</v>
      </c>
      <c r="D23" s="19">
        <v>2</v>
      </c>
      <c r="E23" s="19">
        <v>873</v>
      </c>
      <c r="F23" s="19">
        <v>2.0618999999999998E-2</v>
      </c>
      <c r="G23" s="19">
        <v>1917.75</v>
      </c>
      <c r="H23" s="19">
        <v>873</v>
      </c>
      <c r="I23" s="19">
        <v>2.0618600000000001E-2</v>
      </c>
      <c r="J23" s="19">
        <v>3684.9375</v>
      </c>
      <c r="K23" s="19">
        <v>873</v>
      </c>
      <c r="L23" s="19">
        <v>2.0618999999999998E-2</v>
      </c>
      <c r="M23" s="19">
        <v>10895.75</v>
      </c>
    </row>
    <row r="24" spans="1:13" x14ac:dyDescent="0.4">
      <c r="A24" t="s">
        <v>26</v>
      </c>
      <c r="B24" s="19">
        <v>25</v>
      </c>
      <c r="C24" s="19">
        <v>6</v>
      </c>
      <c r="D24" s="19">
        <v>3</v>
      </c>
      <c r="E24" s="19">
        <v>540</v>
      </c>
      <c r="F24" s="19">
        <v>4.2592999999999999E-2</v>
      </c>
      <c r="G24" s="19">
        <v>1812.59375</v>
      </c>
      <c r="H24" s="19">
        <v>534</v>
      </c>
      <c r="I24" s="19">
        <v>3.1835000000000002E-2</v>
      </c>
      <c r="J24" s="19">
        <v>3610.78125</v>
      </c>
      <c r="K24" s="19">
        <v>534</v>
      </c>
      <c r="L24" s="19">
        <v>3.1835000000000002E-2</v>
      </c>
      <c r="M24" s="19">
        <v>10817.3125</v>
      </c>
    </row>
    <row r="25" spans="1:13" x14ac:dyDescent="0.4">
      <c r="A25" t="s">
        <v>27</v>
      </c>
      <c r="B25" s="19">
        <v>25</v>
      </c>
      <c r="C25" s="19">
        <v>8</v>
      </c>
      <c r="D25" s="19">
        <v>4</v>
      </c>
      <c r="E25" s="19">
        <v>437</v>
      </c>
      <c r="F25" s="19">
        <v>3.7943999999999999E-2</v>
      </c>
      <c r="G25" s="19">
        <v>1803.296875</v>
      </c>
      <c r="H25" s="19">
        <v>432</v>
      </c>
      <c r="I25" s="19">
        <v>2.6807000000000001E-2</v>
      </c>
      <c r="J25" s="19">
        <v>3602.828125</v>
      </c>
      <c r="K25" s="19">
        <v>432</v>
      </c>
      <c r="L25" s="19">
        <v>2.6807999999999998E-2</v>
      </c>
      <c r="M25" s="19">
        <v>10804.734375</v>
      </c>
    </row>
    <row r="26" spans="1:13" x14ac:dyDescent="0.4">
      <c r="A26" t="s">
        <v>28</v>
      </c>
      <c r="B26" s="19">
        <v>25</v>
      </c>
      <c r="C26" s="19">
        <v>10</v>
      </c>
      <c r="D26" s="19">
        <v>5</v>
      </c>
      <c r="E26" s="19">
        <v>360</v>
      </c>
      <c r="F26" s="19">
        <v>3.065E-2</v>
      </c>
      <c r="G26" s="19">
        <v>1802.515625</v>
      </c>
      <c r="H26" s="19">
        <v>360</v>
      </c>
      <c r="I26" s="19">
        <v>3.0384600000000001E-2</v>
      </c>
      <c r="J26" s="19">
        <v>3607.875</v>
      </c>
      <c r="K26" s="19">
        <v>360</v>
      </c>
      <c r="L26" s="19">
        <v>3.0372E-2</v>
      </c>
      <c r="M26" s="19">
        <v>10834.4375</v>
      </c>
    </row>
    <row r="27" spans="1:13" x14ac:dyDescent="0.4">
      <c r="A27" t="s">
        <v>29</v>
      </c>
      <c r="B27" s="19">
        <v>25</v>
      </c>
      <c r="C27" s="19">
        <v>12</v>
      </c>
      <c r="D27" s="19">
        <v>6</v>
      </c>
      <c r="E27" s="19">
        <v>307</v>
      </c>
      <c r="F27" s="19">
        <v>5.4105E-2</v>
      </c>
      <c r="G27" s="19">
        <v>1803.078125</v>
      </c>
      <c r="H27" s="19">
        <v>303</v>
      </c>
      <c r="I27" s="19">
        <v>4.0644E-2</v>
      </c>
      <c r="J27" s="19">
        <v>3609.8125</v>
      </c>
      <c r="K27" s="19">
        <v>302</v>
      </c>
      <c r="L27" s="19">
        <v>3.8397000000000001E-2</v>
      </c>
      <c r="M27" s="19">
        <v>10835.703125</v>
      </c>
    </row>
  </sheetData>
  <mergeCells count="3">
    <mergeCell ref="E1:G1"/>
    <mergeCell ref="H1:J1"/>
    <mergeCell ref="K1:M1"/>
  </mergeCells>
  <phoneticPr fontId="5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>
      <selection activeCell="E27" sqref="E27:I27"/>
    </sheetView>
  </sheetViews>
  <sheetFormatPr defaultColWidth="9" defaultRowHeight="14.35" x14ac:dyDescent="0.4"/>
  <sheetData>
    <row r="1" spans="1:9" x14ac:dyDescent="0.4">
      <c r="B1" t="s">
        <v>0</v>
      </c>
      <c r="C1" t="s">
        <v>1</v>
      </c>
      <c r="D1" t="s">
        <v>2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4">
      <c r="A2" s="1" t="s">
        <v>5</v>
      </c>
      <c r="B2" s="1">
        <v>5</v>
      </c>
      <c r="C2" s="1">
        <v>4</v>
      </c>
      <c r="D2" s="1">
        <v>2</v>
      </c>
      <c r="E2" s="1">
        <v>109.5</v>
      </c>
      <c r="F2" s="1">
        <v>113.5</v>
      </c>
      <c r="G2" s="1">
        <v>120</v>
      </c>
      <c r="H2" s="1">
        <v>113.5</v>
      </c>
      <c r="I2" s="1">
        <v>146</v>
      </c>
    </row>
    <row r="3" spans="1:9" x14ac:dyDescent="0.4">
      <c r="A3" s="1" t="s">
        <v>6</v>
      </c>
      <c r="B3" s="1">
        <v>5</v>
      </c>
      <c r="C3" s="1">
        <v>6</v>
      </c>
      <c r="D3" s="1">
        <v>3</v>
      </c>
      <c r="E3" s="1">
        <v>103.333</v>
      </c>
      <c r="F3" s="1">
        <v>114.333</v>
      </c>
      <c r="G3" s="1">
        <v>103</v>
      </c>
      <c r="H3" s="1">
        <v>114.333</v>
      </c>
      <c r="I3" s="1">
        <v>128</v>
      </c>
    </row>
    <row r="4" spans="1:9" x14ac:dyDescent="0.4">
      <c r="A4" s="1" t="s">
        <v>7</v>
      </c>
      <c r="B4" s="1">
        <v>5</v>
      </c>
      <c r="C4" s="1">
        <v>8</v>
      </c>
      <c r="D4" s="1">
        <v>4</v>
      </c>
      <c r="E4" s="1">
        <v>77.5</v>
      </c>
      <c r="F4" s="1">
        <v>82.5</v>
      </c>
      <c r="G4" s="1">
        <v>101</v>
      </c>
      <c r="H4" s="1">
        <v>82.5</v>
      </c>
      <c r="I4" s="1">
        <v>87.5</v>
      </c>
    </row>
    <row r="5" spans="1:9" x14ac:dyDescent="0.4">
      <c r="A5" s="1" t="s">
        <v>8</v>
      </c>
      <c r="B5" s="1">
        <v>5</v>
      </c>
      <c r="C5" s="1">
        <v>10</v>
      </c>
      <c r="D5" s="1">
        <v>5</v>
      </c>
      <c r="E5" s="1">
        <v>62</v>
      </c>
      <c r="F5" s="1">
        <v>68</v>
      </c>
      <c r="G5" s="1">
        <v>107</v>
      </c>
      <c r="H5" s="1">
        <v>68</v>
      </c>
      <c r="I5" s="1">
        <v>68</v>
      </c>
    </row>
    <row r="6" spans="1:9" x14ac:dyDescent="0.4">
      <c r="A6" s="1" t="s">
        <v>9</v>
      </c>
      <c r="B6" s="1">
        <v>5</v>
      </c>
      <c r="C6" s="1">
        <v>12</v>
      </c>
      <c r="D6" s="1">
        <v>6</v>
      </c>
      <c r="E6" s="1">
        <v>51.666699999999999</v>
      </c>
      <c r="F6" s="1">
        <v>56.666699999999999</v>
      </c>
      <c r="G6" s="1">
        <v>103</v>
      </c>
      <c r="H6" s="1">
        <v>56.666699999999999</v>
      </c>
      <c r="I6" s="1">
        <v>56.666699999999999</v>
      </c>
    </row>
    <row r="7" spans="1:9" x14ac:dyDescent="0.4">
      <c r="A7" s="1" t="s">
        <v>10</v>
      </c>
      <c r="B7" s="1">
        <v>10</v>
      </c>
      <c r="C7" s="1">
        <v>4</v>
      </c>
      <c r="D7" s="1">
        <v>2</v>
      </c>
      <c r="E7" s="1">
        <v>242.5</v>
      </c>
      <c r="F7" s="1">
        <v>252.5</v>
      </c>
      <c r="G7" s="1">
        <v>99</v>
      </c>
      <c r="H7" s="1">
        <v>252.5</v>
      </c>
      <c r="I7" s="1">
        <v>334</v>
      </c>
    </row>
    <row r="8" spans="1:9" x14ac:dyDescent="0.4">
      <c r="A8" s="1" t="s">
        <v>11</v>
      </c>
      <c r="B8" s="1">
        <v>10</v>
      </c>
      <c r="C8" s="1">
        <v>6</v>
      </c>
      <c r="D8" s="1">
        <v>3</v>
      </c>
      <c r="E8" s="1">
        <v>161.667</v>
      </c>
      <c r="F8" s="1">
        <v>165.667</v>
      </c>
      <c r="G8" s="1">
        <v>110</v>
      </c>
      <c r="H8" s="1">
        <v>165.667</v>
      </c>
      <c r="I8" s="1">
        <v>213.333</v>
      </c>
    </row>
    <row r="9" spans="1:9" x14ac:dyDescent="0.4">
      <c r="A9" s="1" t="s">
        <v>12</v>
      </c>
      <c r="B9" s="1">
        <v>10</v>
      </c>
      <c r="C9" s="1">
        <v>8</v>
      </c>
      <c r="D9" s="1">
        <v>4</v>
      </c>
      <c r="E9" s="1">
        <v>121.25</v>
      </c>
      <c r="F9" s="1">
        <v>126.25</v>
      </c>
      <c r="G9" s="1">
        <v>122</v>
      </c>
      <c r="H9" s="1">
        <v>126.25</v>
      </c>
      <c r="I9" s="1">
        <v>156.75</v>
      </c>
    </row>
    <row r="10" spans="1:9" x14ac:dyDescent="0.4">
      <c r="A10" s="1" t="s">
        <v>13</v>
      </c>
      <c r="B10" s="1">
        <v>10</v>
      </c>
      <c r="C10" s="1">
        <v>10</v>
      </c>
      <c r="D10" s="1">
        <v>5</v>
      </c>
      <c r="E10" s="1">
        <v>97</v>
      </c>
      <c r="F10" s="1">
        <v>99</v>
      </c>
      <c r="G10" s="1">
        <v>116</v>
      </c>
      <c r="H10" s="1">
        <v>103</v>
      </c>
      <c r="I10" s="1">
        <v>119.4</v>
      </c>
    </row>
    <row r="11" spans="1:9" x14ac:dyDescent="0.4">
      <c r="A11" s="1" t="s">
        <v>14</v>
      </c>
      <c r="B11" s="1">
        <v>10</v>
      </c>
      <c r="C11" s="1">
        <v>12</v>
      </c>
      <c r="D11" s="1">
        <v>6</v>
      </c>
      <c r="E11" s="1">
        <v>103.667</v>
      </c>
      <c r="F11" s="1">
        <v>110.667</v>
      </c>
      <c r="G11" s="1">
        <v>99</v>
      </c>
      <c r="H11" s="1">
        <v>110.667</v>
      </c>
      <c r="I11" s="1">
        <v>124.167</v>
      </c>
    </row>
    <row r="12" spans="1:9" x14ac:dyDescent="0.4">
      <c r="A12" s="1" t="s">
        <v>15</v>
      </c>
      <c r="B12" s="1">
        <v>15</v>
      </c>
      <c r="C12" s="1">
        <v>4</v>
      </c>
      <c r="D12" s="1">
        <v>2</v>
      </c>
      <c r="E12" s="1">
        <v>438</v>
      </c>
      <c r="F12" s="1">
        <v>442</v>
      </c>
      <c r="G12" s="1">
        <v>135</v>
      </c>
      <c r="H12" s="1">
        <v>442</v>
      </c>
      <c r="I12" s="1">
        <v>574</v>
      </c>
    </row>
    <row r="13" spans="1:9" x14ac:dyDescent="0.4">
      <c r="A13" s="1" t="s">
        <v>16</v>
      </c>
      <c r="B13" s="1">
        <v>15</v>
      </c>
      <c r="C13" s="1">
        <v>6</v>
      </c>
      <c r="D13" s="1">
        <v>3</v>
      </c>
      <c r="E13" s="1">
        <v>292</v>
      </c>
      <c r="F13" s="1">
        <v>299</v>
      </c>
      <c r="G13" s="1">
        <v>131</v>
      </c>
      <c r="H13" s="1">
        <v>299</v>
      </c>
      <c r="I13" s="1">
        <v>380.33300000000003</v>
      </c>
    </row>
    <row r="14" spans="1:9" x14ac:dyDescent="0.4">
      <c r="A14" s="1" t="s">
        <v>17</v>
      </c>
      <c r="B14" s="1">
        <v>15</v>
      </c>
      <c r="C14" s="1">
        <v>8</v>
      </c>
      <c r="D14" s="1">
        <v>4</v>
      </c>
      <c r="E14" s="1">
        <v>219</v>
      </c>
      <c r="F14" s="1">
        <v>227</v>
      </c>
      <c r="G14" s="1">
        <v>132</v>
      </c>
      <c r="H14" s="1">
        <v>227</v>
      </c>
      <c r="I14" s="1">
        <v>282.25</v>
      </c>
    </row>
    <row r="15" spans="1:9" x14ac:dyDescent="0.4">
      <c r="A15" s="1" t="s">
        <v>18</v>
      </c>
      <c r="B15" s="1">
        <v>15</v>
      </c>
      <c r="C15" s="1">
        <v>10</v>
      </c>
      <c r="D15" s="1">
        <v>5</v>
      </c>
      <c r="E15" s="1">
        <v>147.80000000000001</v>
      </c>
      <c r="F15" s="1">
        <v>154.80000000000001</v>
      </c>
      <c r="G15" s="1">
        <v>137</v>
      </c>
      <c r="H15" s="1">
        <v>156.80000000000001</v>
      </c>
      <c r="I15" s="1">
        <v>195.4</v>
      </c>
    </row>
    <row r="16" spans="1:9" x14ac:dyDescent="0.4">
      <c r="A16" s="1" t="s">
        <v>19</v>
      </c>
      <c r="B16" s="1">
        <v>15</v>
      </c>
      <c r="C16" s="1">
        <v>12</v>
      </c>
      <c r="D16" s="1">
        <v>6</v>
      </c>
      <c r="E16" s="1">
        <v>123.167</v>
      </c>
      <c r="F16" s="1">
        <v>126.167</v>
      </c>
      <c r="G16" s="1">
        <v>107</v>
      </c>
      <c r="H16" s="1">
        <v>126.167</v>
      </c>
      <c r="I16" s="1">
        <v>156.667</v>
      </c>
    </row>
    <row r="17" spans="1:9" x14ac:dyDescent="0.4">
      <c r="A17" s="1" t="s">
        <v>20</v>
      </c>
      <c r="B17" s="1">
        <v>20</v>
      </c>
      <c r="C17" s="1">
        <v>4</v>
      </c>
      <c r="D17" s="1">
        <v>2</v>
      </c>
      <c r="E17" s="1">
        <v>516.5</v>
      </c>
      <c r="F17" s="1">
        <v>519.5</v>
      </c>
      <c r="G17" s="1">
        <v>147</v>
      </c>
      <c r="H17" s="1">
        <v>519.5</v>
      </c>
      <c r="I17" s="1">
        <v>703</v>
      </c>
    </row>
    <row r="18" spans="1:9" x14ac:dyDescent="0.4">
      <c r="A18" s="1" t="s">
        <v>21</v>
      </c>
      <c r="B18" s="1">
        <v>20</v>
      </c>
      <c r="C18" s="1">
        <v>6</v>
      </c>
      <c r="D18" s="1">
        <v>3</v>
      </c>
      <c r="E18" s="1">
        <v>306.66699999999997</v>
      </c>
      <c r="F18" s="1">
        <v>309.66699999999997</v>
      </c>
      <c r="G18" s="1">
        <v>123</v>
      </c>
      <c r="H18" s="1">
        <v>309.66699999999997</v>
      </c>
      <c r="I18" s="1">
        <v>424.66699999999997</v>
      </c>
    </row>
    <row r="19" spans="1:9" x14ac:dyDescent="0.4">
      <c r="A19" s="1" t="s">
        <v>22</v>
      </c>
      <c r="B19" s="1">
        <v>20</v>
      </c>
      <c r="C19" s="1">
        <v>8</v>
      </c>
      <c r="D19" s="1">
        <v>4</v>
      </c>
      <c r="E19" s="1">
        <v>295.25</v>
      </c>
      <c r="F19" s="1">
        <v>297.25</v>
      </c>
      <c r="G19" s="1">
        <v>121</v>
      </c>
      <c r="H19" s="1">
        <v>297.25</v>
      </c>
      <c r="I19" s="1">
        <v>378.75</v>
      </c>
    </row>
    <row r="20" spans="1:9" x14ac:dyDescent="0.4">
      <c r="A20" s="1" t="s">
        <v>23</v>
      </c>
      <c r="B20" s="1">
        <v>20</v>
      </c>
      <c r="C20" s="1">
        <v>10</v>
      </c>
      <c r="D20" s="1">
        <v>5</v>
      </c>
      <c r="E20" s="1">
        <v>206.6</v>
      </c>
      <c r="F20" s="1">
        <v>212.6</v>
      </c>
      <c r="G20" s="1">
        <v>134</v>
      </c>
      <c r="H20" s="1">
        <v>212.6</v>
      </c>
      <c r="I20" s="1">
        <v>273</v>
      </c>
    </row>
    <row r="21" spans="1:9" x14ac:dyDescent="0.4">
      <c r="A21" s="1" t="s">
        <v>24</v>
      </c>
      <c r="B21" s="1">
        <v>20</v>
      </c>
      <c r="C21" s="1">
        <v>12</v>
      </c>
      <c r="D21" s="1">
        <v>6</v>
      </c>
      <c r="E21" s="1">
        <v>168.5</v>
      </c>
      <c r="F21" s="1">
        <v>172.5</v>
      </c>
      <c r="G21" s="1">
        <v>122</v>
      </c>
      <c r="H21" s="1">
        <v>172.5</v>
      </c>
      <c r="I21" s="1">
        <v>219.167</v>
      </c>
    </row>
    <row r="22" spans="1:9" x14ac:dyDescent="0.4">
      <c r="A22" s="1" t="s">
        <v>25</v>
      </c>
      <c r="B22" s="1">
        <v>25</v>
      </c>
      <c r="C22" s="1">
        <v>4</v>
      </c>
      <c r="D22" s="1">
        <v>2</v>
      </c>
      <c r="E22" s="1">
        <v>611</v>
      </c>
      <c r="F22" s="1">
        <v>621</v>
      </c>
      <c r="G22" s="1">
        <v>156</v>
      </c>
      <c r="H22" s="1">
        <v>621</v>
      </c>
      <c r="I22" s="1">
        <v>855</v>
      </c>
    </row>
    <row r="23" spans="1:9" x14ac:dyDescent="0.4">
      <c r="A23" s="1" t="s">
        <v>26</v>
      </c>
      <c r="B23" s="1">
        <v>25</v>
      </c>
      <c r="C23" s="1">
        <v>6</v>
      </c>
      <c r="D23" s="1">
        <v>3</v>
      </c>
      <c r="E23" s="1">
        <v>364.33300000000003</v>
      </c>
      <c r="F23" s="1">
        <v>368.33300000000003</v>
      </c>
      <c r="G23" s="1">
        <v>133</v>
      </c>
      <c r="H23" s="1">
        <v>368.33300000000003</v>
      </c>
      <c r="I23" s="1">
        <v>516.66700000000003</v>
      </c>
    </row>
    <row r="24" spans="1:9" x14ac:dyDescent="0.4">
      <c r="A24" s="1" t="s">
        <v>27</v>
      </c>
      <c r="B24" s="1">
        <v>25</v>
      </c>
      <c r="C24" s="1">
        <v>8</v>
      </c>
      <c r="D24" s="1">
        <v>4</v>
      </c>
      <c r="E24" s="1">
        <v>306.75</v>
      </c>
      <c r="F24" s="1">
        <v>313.75</v>
      </c>
      <c r="G24" s="1">
        <v>118</v>
      </c>
      <c r="H24" s="1">
        <v>313.75</v>
      </c>
      <c r="I24" s="1">
        <v>420.25</v>
      </c>
    </row>
    <row r="25" spans="1:9" x14ac:dyDescent="0.4">
      <c r="A25" s="1" t="s">
        <v>28</v>
      </c>
      <c r="B25" s="1">
        <v>25</v>
      </c>
      <c r="C25" s="1">
        <v>10</v>
      </c>
      <c r="D25" s="1">
        <v>5</v>
      </c>
      <c r="E25" s="1">
        <v>260.2</v>
      </c>
      <c r="F25" s="1">
        <v>266.2</v>
      </c>
      <c r="G25" s="1">
        <v>117</v>
      </c>
      <c r="H25" s="1">
        <v>266.2</v>
      </c>
      <c r="I25" s="1">
        <v>347.8</v>
      </c>
    </row>
    <row r="26" spans="1:9" x14ac:dyDescent="0.4">
      <c r="A26" s="1" t="s">
        <v>29</v>
      </c>
      <c r="B26" s="1">
        <v>25</v>
      </c>
      <c r="C26" s="1">
        <v>12</v>
      </c>
      <c r="D26" s="1">
        <v>6</v>
      </c>
      <c r="E26" s="1">
        <v>220.667</v>
      </c>
      <c r="F26" s="1">
        <v>224.667</v>
      </c>
      <c r="G26" s="1">
        <v>116</v>
      </c>
      <c r="H26" s="1">
        <v>224.667</v>
      </c>
      <c r="I26" s="1">
        <v>288.66699999999997</v>
      </c>
    </row>
    <row r="27" spans="1:9" x14ac:dyDescent="0.4">
      <c r="A27" s="1"/>
      <c r="B27" s="35" t="s">
        <v>35</v>
      </c>
      <c r="C27" s="36"/>
      <c r="D27" s="36"/>
      <c r="E27" s="23">
        <f>AVERAGE(E2:E26)</f>
        <v>224.26070799999997</v>
      </c>
      <c r="F27" s="23">
        <f t="shared" ref="F27:I27" si="0">AVERAGE(F2:F26)</f>
        <v>229.74070799999998</v>
      </c>
      <c r="G27" s="23">
        <f t="shared" si="0"/>
        <v>120.36</v>
      </c>
      <c r="H27" s="23">
        <f t="shared" si="0"/>
        <v>229.98070799999996</v>
      </c>
      <c r="I27" s="23">
        <f t="shared" si="0"/>
        <v>297.97738800000008</v>
      </c>
    </row>
  </sheetData>
  <mergeCells count="1">
    <mergeCell ref="B27:D27"/>
  </mergeCells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zoomScale="70" zoomScaleNormal="70" workbookViewId="0">
      <selection activeCell="N2" sqref="N2"/>
    </sheetView>
  </sheetViews>
  <sheetFormatPr defaultColWidth="9" defaultRowHeight="14.35" x14ac:dyDescent="0.4"/>
  <cols>
    <col min="7" max="7" width="16.234375" customWidth="1"/>
  </cols>
  <sheetData>
    <row r="1" spans="1:24" x14ac:dyDescent="0.4">
      <c r="A1" s="1"/>
      <c r="B1" s="37" t="s">
        <v>0</v>
      </c>
      <c r="C1" s="39" t="s">
        <v>1</v>
      </c>
      <c r="D1" s="39" t="s">
        <v>2</v>
      </c>
      <c r="E1" s="35" t="s">
        <v>36</v>
      </c>
      <c r="F1" s="35"/>
      <c r="G1" s="35"/>
      <c r="H1" s="35" t="s">
        <v>37</v>
      </c>
      <c r="I1" s="36"/>
      <c r="J1" s="36"/>
      <c r="K1" s="35" t="s">
        <v>38</v>
      </c>
      <c r="L1" s="36"/>
      <c r="M1" s="36"/>
      <c r="N1" s="35" t="s">
        <v>39</v>
      </c>
      <c r="O1" s="36"/>
      <c r="P1" s="36"/>
      <c r="Q1" s="1"/>
      <c r="R1" s="1"/>
      <c r="S1" s="17"/>
      <c r="T1" s="1"/>
      <c r="U1" s="1"/>
      <c r="V1" s="1"/>
      <c r="W1" s="1"/>
      <c r="X1" s="17"/>
    </row>
    <row r="2" spans="1:24" x14ac:dyDescent="0.4">
      <c r="A2" s="1"/>
      <c r="B2" s="38"/>
      <c r="C2" s="34"/>
      <c r="D2" s="34"/>
      <c r="E2" s="29" t="s">
        <v>96</v>
      </c>
      <c r="F2" s="3" t="s">
        <v>40</v>
      </c>
      <c r="G2" s="3" t="s">
        <v>4</v>
      </c>
      <c r="H2" s="30" t="s">
        <v>96</v>
      </c>
      <c r="I2" s="3" t="s">
        <v>40</v>
      </c>
      <c r="J2" s="4" t="s">
        <v>4</v>
      </c>
      <c r="K2" s="30" t="s">
        <v>96</v>
      </c>
      <c r="L2" s="3" t="s">
        <v>40</v>
      </c>
      <c r="M2" s="4" t="s">
        <v>4</v>
      </c>
      <c r="N2" s="29" t="s">
        <v>96</v>
      </c>
      <c r="O2" s="3" t="s">
        <v>40</v>
      </c>
      <c r="P2" s="4" t="s">
        <v>4</v>
      </c>
    </row>
    <row r="3" spans="1:24" x14ac:dyDescent="0.4">
      <c r="A3" s="1" t="s">
        <v>5</v>
      </c>
      <c r="B3" s="3">
        <v>5</v>
      </c>
      <c r="C3" s="3">
        <v>4</v>
      </c>
      <c r="D3" s="3">
        <v>2</v>
      </c>
      <c r="E3" s="19">
        <v>169</v>
      </c>
      <c r="F3" s="19">
        <v>0</v>
      </c>
      <c r="G3" s="19">
        <v>0.171875</v>
      </c>
      <c r="H3" s="19">
        <v>169</v>
      </c>
      <c r="I3" s="19">
        <v>0</v>
      </c>
      <c r="J3" s="19">
        <v>0.42199999999999999</v>
      </c>
      <c r="K3" s="19">
        <v>169</v>
      </c>
      <c r="L3" s="19">
        <v>0</v>
      </c>
      <c r="M3" s="19">
        <v>1.375</v>
      </c>
      <c r="N3" s="19">
        <v>169</v>
      </c>
      <c r="O3" s="19">
        <v>0</v>
      </c>
      <c r="P3" s="19">
        <v>0.70299999999999996</v>
      </c>
    </row>
    <row r="4" spans="1:24" x14ac:dyDescent="0.4">
      <c r="A4" s="22" t="s">
        <v>6</v>
      </c>
      <c r="B4" s="3">
        <v>5</v>
      </c>
      <c r="C4" s="3">
        <v>6</v>
      </c>
      <c r="D4" s="3">
        <v>3</v>
      </c>
      <c r="E4" s="19">
        <v>164</v>
      </c>
      <c r="F4" s="19">
        <v>0</v>
      </c>
      <c r="G4" s="19">
        <v>6.25E-2</v>
      </c>
      <c r="H4" s="19">
        <v>164</v>
      </c>
      <c r="I4" s="19">
        <v>0</v>
      </c>
      <c r="J4" s="19">
        <v>0.48399999999999999</v>
      </c>
      <c r="K4" s="19">
        <v>164</v>
      </c>
      <c r="L4" s="19">
        <v>0</v>
      </c>
      <c r="M4" s="19">
        <v>1</v>
      </c>
      <c r="N4" s="19">
        <v>164</v>
      </c>
      <c r="O4" s="19">
        <v>0</v>
      </c>
      <c r="P4" s="19">
        <v>1.0309999999999999</v>
      </c>
    </row>
    <row r="5" spans="1:24" x14ac:dyDescent="0.4">
      <c r="A5" s="1" t="s">
        <v>7</v>
      </c>
      <c r="B5" s="3">
        <v>5</v>
      </c>
      <c r="C5" s="3">
        <v>8</v>
      </c>
      <c r="D5" s="3">
        <v>4</v>
      </c>
      <c r="E5" s="19">
        <v>122</v>
      </c>
      <c r="F5" s="19">
        <v>0</v>
      </c>
      <c r="G5" s="19">
        <v>3.125E-2</v>
      </c>
      <c r="H5" s="19">
        <v>122</v>
      </c>
      <c r="I5" s="19">
        <v>0</v>
      </c>
      <c r="J5" s="19">
        <v>0.29699999999999999</v>
      </c>
      <c r="K5" s="19">
        <v>122</v>
      </c>
      <c r="L5" s="19">
        <v>0</v>
      </c>
      <c r="M5" s="19">
        <v>0.40625</v>
      </c>
      <c r="N5" s="19">
        <v>122</v>
      </c>
      <c r="O5" s="19">
        <v>0</v>
      </c>
      <c r="P5" s="19">
        <v>0.375</v>
      </c>
    </row>
    <row r="6" spans="1:24" x14ac:dyDescent="0.4">
      <c r="A6" s="1" t="s">
        <v>8</v>
      </c>
      <c r="B6" s="3">
        <v>5</v>
      </c>
      <c r="C6" s="3">
        <v>10</v>
      </c>
      <c r="D6" s="3">
        <v>5</v>
      </c>
      <c r="E6" s="19">
        <v>107</v>
      </c>
      <c r="F6" s="19">
        <v>0</v>
      </c>
      <c r="G6" s="19">
        <v>3.125E-2</v>
      </c>
      <c r="H6" s="19">
        <v>107</v>
      </c>
      <c r="I6" s="19">
        <v>0</v>
      </c>
      <c r="J6" s="19">
        <v>0.188</v>
      </c>
      <c r="K6" s="19">
        <v>107</v>
      </c>
      <c r="L6" s="19">
        <v>0</v>
      </c>
      <c r="M6" s="19">
        <v>0.40625</v>
      </c>
      <c r="N6" s="19">
        <v>107</v>
      </c>
      <c r="O6" s="19">
        <v>0</v>
      </c>
      <c r="P6" s="19">
        <v>0.42199999999999999</v>
      </c>
    </row>
    <row r="7" spans="1:24" x14ac:dyDescent="0.4">
      <c r="A7" s="1" t="s">
        <v>9</v>
      </c>
      <c r="B7" s="3">
        <v>5</v>
      </c>
      <c r="C7" s="3">
        <v>12</v>
      </c>
      <c r="D7" s="3">
        <v>6</v>
      </c>
      <c r="E7" s="19">
        <v>103</v>
      </c>
      <c r="F7" s="19">
        <v>0</v>
      </c>
      <c r="G7" s="19">
        <v>0</v>
      </c>
      <c r="H7" s="19">
        <v>103</v>
      </c>
      <c r="I7" s="19">
        <v>0</v>
      </c>
      <c r="J7" s="19">
        <v>4.7E-2</v>
      </c>
      <c r="K7" s="19">
        <v>103</v>
      </c>
      <c r="L7" s="19">
        <v>0</v>
      </c>
      <c r="M7" s="19">
        <v>0.515625</v>
      </c>
      <c r="N7" s="19">
        <v>103</v>
      </c>
      <c r="O7" s="19">
        <v>0</v>
      </c>
      <c r="P7" s="19">
        <v>0.67200000000000004</v>
      </c>
    </row>
    <row r="8" spans="1:24" x14ac:dyDescent="0.4">
      <c r="A8" s="1" t="s">
        <v>10</v>
      </c>
      <c r="B8" s="3">
        <v>10</v>
      </c>
      <c r="C8" s="3">
        <v>4</v>
      </c>
      <c r="D8" s="3">
        <v>2</v>
      </c>
      <c r="E8" s="19">
        <v>350</v>
      </c>
      <c r="F8" s="19">
        <v>0</v>
      </c>
      <c r="G8" s="19">
        <v>9.953125</v>
      </c>
      <c r="H8" s="19">
        <v>350</v>
      </c>
      <c r="I8" s="19">
        <v>0</v>
      </c>
      <c r="J8" s="19">
        <v>23.577999999999999</v>
      </c>
      <c r="K8" s="19">
        <v>350</v>
      </c>
      <c r="L8" s="19">
        <v>3.0000000000000001E-3</v>
      </c>
      <c r="M8" s="19">
        <v>26.0625</v>
      </c>
      <c r="N8" s="19">
        <v>350</v>
      </c>
      <c r="O8" s="19">
        <v>0</v>
      </c>
      <c r="P8" s="19">
        <v>28.905999999999999</v>
      </c>
    </row>
    <row r="9" spans="1:24" x14ac:dyDescent="0.4">
      <c r="A9" s="1" t="s">
        <v>11</v>
      </c>
      <c r="B9" s="3">
        <v>10</v>
      </c>
      <c r="C9" s="3">
        <v>6</v>
      </c>
      <c r="D9" s="3">
        <v>3</v>
      </c>
      <c r="E9" s="19">
        <v>228</v>
      </c>
      <c r="F9" s="19">
        <v>0</v>
      </c>
      <c r="G9" s="19">
        <v>1.359375</v>
      </c>
      <c r="H9" s="19">
        <v>228</v>
      </c>
      <c r="I9" s="19">
        <v>0</v>
      </c>
      <c r="J9" s="19">
        <v>9.9380000000000006</v>
      </c>
      <c r="K9" s="19">
        <v>228</v>
      </c>
      <c r="L9" s="19">
        <v>0</v>
      </c>
      <c r="M9" s="19">
        <v>10.53125</v>
      </c>
      <c r="N9" s="19">
        <v>228</v>
      </c>
      <c r="O9" s="19">
        <v>0</v>
      </c>
      <c r="P9" s="19">
        <v>10.016</v>
      </c>
    </row>
    <row r="10" spans="1:24" x14ac:dyDescent="0.4">
      <c r="A10" s="1" t="s">
        <v>12</v>
      </c>
      <c r="B10" s="3">
        <v>10</v>
      </c>
      <c r="C10" s="3">
        <v>8</v>
      </c>
      <c r="D10" s="3">
        <v>4</v>
      </c>
      <c r="E10" s="19">
        <v>178</v>
      </c>
      <c r="F10" s="19">
        <v>0</v>
      </c>
      <c r="G10" s="19">
        <v>4.90625</v>
      </c>
      <c r="H10" s="19">
        <v>178</v>
      </c>
      <c r="I10" s="19">
        <v>0</v>
      </c>
      <c r="J10" s="19">
        <v>13.141</v>
      </c>
      <c r="K10" s="19">
        <v>178</v>
      </c>
      <c r="L10" s="19">
        <v>0</v>
      </c>
      <c r="M10" s="19">
        <v>11.9375</v>
      </c>
      <c r="N10" s="19">
        <v>178</v>
      </c>
      <c r="O10" s="19">
        <v>0</v>
      </c>
      <c r="P10" s="19">
        <v>12.952999999999999</v>
      </c>
    </row>
    <row r="11" spans="1:24" x14ac:dyDescent="0.4">
      <c r="A11" s="1" t="s">
        <v>13</v>
      </c>
      <c r="B11" s="3">
        <v>10</v>
      </c>
      <c r="C11" s="3">
        <v>10</v>
      </c>
      <c r="D11" s="3">
        <v>5</v>
      </c>
      <c r="E11" s="19">
        <v>153</v>
      </c>
      <c r="F11" s="19">
        <v>0</v>
      </c>
      <c r="G11" s="19">
        <v>9.890625</v>
      </c>
      <c r="H11" s="19">
        <v>153</v>
      </c>
      <c r="I11" s="19">
        <v>0</v>
      </c>
      <c r="J11" s="19">
        <v>11.547000000000001</v>
      </c>
      <c r="K11" s="19">
        <v>153</v>
      </c>
      <c r="L11" s="19">
        <v>0</v>
      </c>
      <c r="M11" s="19">
        <v>14.265625</v>
      </c>
      <c r="N11" s="19">
        <v>153</v>
      </c>
      <c r="O11" s="19">
        <v>0</v>
      </c>
      <c r="P11" s="19">
        <v>15.327999999999999</v>
      </c>
    </row>
    <row r="12" spans="1:24" x14ac:dyDescent="0.4">
      <c r="A12" s="1" t="s">
        <v>14</v>
      </c>
      <c r="B12" s="3">
        <v>10</v>
      </c>
      <c r="C12" s="3">
        <v>12</v>
      </c>
      <c r="D12" s="3">
        <v>6</v>
      </c>
      <c r="E12" s="19">
        <v>160</v>
      </c>
      <c r="F12" s="19">
        <v>9.4000000000000004E-3</v>
      </c>
      <c r="G12" s="19">
        <v>80.3125</v>
      </c>
      <c r="H12" s="19">
        <v>160</v>
      </c>
      <c r="I12" s="19">
        <v>0</v>
      </c>
      <c r="J12" s="19">
        <v>113.09399999999999</v>
      </c>
      <c r="K12" s="19">
        <v>160</v>
      </c>
      <c r="L12" s="19">
        <v>8.3000000000000001E-3</v>
      </c>
      <c r="M12" s="19">
        <v>78.1875</v>
      </c>
      <c r="N12" s="19">
        <v>160</v>
      </c>
      <c r="O12" s="19">
        <v>0</v>
      </c>
      <c r="P12" s="19">
        <v>108.422</v>
      </c>
    </row>
    <row r="13" spans="1:24" x14ac:dyDescent="0.4">
      <c r="A13" s="1" t="s">
        <v>15</v>
      </c>
      <c r="B13" s="3">
        <v>15</v>
      </c>
      <c r="C13" s="3">
        <v>4</v>
      </c>
      <c r="D13" s="3">
        <v>2</v>
      </c>
      <c r="E13" s="19">
        <v>587</v>
      </c>
      <c r="F13" s="19">
        <v>0</v>
      </c>
      <c r="G13" s="19">
        <v>196.515625</v>
      </c>
      <c r="H13" s="19">
        <v>587</v>
      </c>
      <c r="I13" s="19">
        <v>0</v>
      </c>
      <c r="J13" s="19">
        <v>261.89100000000002</v>
      </c>
      <c r="K13" s="19">
        <v>587</v>
      </c>
      <c r="L13" s="19">
        <v>5.5999999999999999E-3</v>
      </c>
      <c r="M13" s="19">
        <v>300.734375</v>
      </c>
      <c r="N13" s="19">
        <v>587</v>
      </c>
      <c r="O13" s="19">
        <v>0</v>
      </c>
      <c r="P13" s="19">
        <v>289.40600000000001</v>
      </c>
    </row>
    <row r="14" spans="1:24" x14ac:dyDescent="0.4">
      <c r="A14" s="1" t="s">
        <v>16</v>
      </c>
      <c r="B14" s="3">
        <v>15</v>
      </c>
      <c r="C14" s="3">
        <v>6</v>
      </c>
      <c r="D14" s="3">
        <v>3</v>
      </c>
      <c r="E14" s="19">
        <v>394</v>
      </c>
      <c r="F14" s="19">
        <v>9.1999999999999998E-3</v>
      </c>
      <c r="G14" s="19">
        <v>307.140625</v>
      </c>
      <c r="H14" s="19">
        <v>394</v>
      </c>
      <c r="I14" s="19">
        <v>0</v>
      </c>
      <c r="J14" s="19">
        <v>305.32799999999997</v>
      </c>
      <c r="K14" s="19">
        <v>394</v>
      </c>
      <c r="L14" s="19">
        <v>8.9999999999999993E-3</v>
      </c>
      <c r="M14" s="19">
        <v>303.28125</v>
      </c>
      <c r="N14" s="19">
        <v>394</v>
      </c>
      <c r="O14" s="19">
        <v>0</v>
      </c>
      <c r="P14" s="19">
        <v>330.26600000000002</v>
      </c>
    </row>
    <row r="15" spans="1:24" x14ac:dyDescent="0.4">
      <c r="A15" s="1" t="s">
        <v>17</v>
      </c>
      <c r="B15" s="3">
        <v>15</v>
      </c>
      <c r="C15" s="3">
        <v>8</v>
      </c>
      <c r="D15" s="3">
        <v>4</v>
      </c>
      <c r="E15" s="19">
        <v>297</v>
      </c>
      <c r="F15" s="19">
        <v>9.9000000000000008E-3</v>
      </c>
      <c r="G15" s="19">
        <v>501.8125</v>
      </c>
      <c r="H15" s="19">
        <v>297</v>
      </c>
      <c r="I15" s="19">
        <v>0</v>
      </c>
      <c r="J15" s="19">
        <v>878.76599999999996</v>
      </c>
      <c r="K15" s="19">
        <v>297</v>
      </c>
      <c r="L15" s="19">
        <v>0.01</v>
      </c>
      <c r="M15" s="19">
        <v>610.625</v>
      </c>
      <c r="N15" s="19">
        <v>297</v>
      </c>
      <c r="O15" s="19">
        <v>0</v>
      </c>
      <c r="P15" s="19">
        <v>819.23400000000004</v>
      </c>
    </row>
    <row r="16" spans="1:24" x14ac:dyDescent="0.4">
      <c r="A16" s="1" t="s">
        <v>18</v>
      </c>
      <c r="B16" s="3">
        <v>15</v>
      </c>
      <c r="C16" s="3">
        <v>10</v>
      </c>
      <c r="D16" s="3">
        <v>5</v>
      </c>
      <c r="E16" s="19">
        <v>210</v>
      </c>
      <c r="F16" s="19">
        <v>9.9000000000000008E-3</v>
      </c>
      <c r="G16" s="19">
        <v>376.59375</v>
      </c>
      <c r="H16" s="19">
        <v>210</v>
      </c>
      <c r="I16" s="19">
        <v>0</v>
      </c>
      <c r="J16" s="19">
        <v>900.5</v>
      </c>
      <c r="K16" s="19">
        <v>210</v>
      </c>
      <c r="L16" s="19">
        <v>0.01</v>
      </c>
      <c r="M16" s="19">
        <v>701.46875</v>
      </c>
      <c r="N16" s="19">
        <v>210</v>
      </c>
      <c r="O16" s="19">
        <v>0</v>
      </c>
      <c r="P16" s="19">
        <v>1773.703</v>
      </c>
    </row>
    <row r="17" spans="1:16" x14ac:dyDescent="0.4">
      <c r="A17" s="1" t="s">
        <v>19</v>
      </c>
      <c r="B17" s="3">
        <v>15</v>
      </c>
      <c r="C17" s="3">
        <v>12</v>
      </c>
      <c r="D17" s="3">
        <v>6</v>
      </c>
      <c r="E17" s="19">
        <v>180</v>
      </c>
      <c r="F17" s="19">
        <v>0.01</v>
      </c>
      <c r="G17" s="19">
        <v>629.421875</v>
      </c>
      <c r="H17" s="19">
        <v>180</v>
      </c>
      <c r="I17" s="19">
        <v>0</v>
      </c>
      <c r="J17" s="19">
        <v>1318.453</v>
      </c>
      <c r="K17" s="19">
        <v>180</v>
      </c>
      <c r="L17" s="19">
        <v>0.01</v>
      </c>
      <c r="M17" s="19">
        <v>2695.8125</v>
      </c>
      <c r="N17" s="19">
        <v>180</v>
      </c>
      <c r="O17" s="19">
        <v>0</v>
      </c>
      <c r="P17" s="19">
        <v>2284.1880000000001</v>
      </c>
    </row>
    <row r="18" spans="1:16" x14ac:dyDescent="0.4">
      <c r="A18" s="1" t="s">
        <v>20</v>
      </c>
      <c r="B18" s="3">
        <v>20</v>
      </c>
      <c r="C18" s="3">
        <v>4</v>
      </c>
      <c r="D18" s="3">
        <v>2</v>
      </c>
      <c r="E18" s="19">
        <v>729</v>
      </c>
      <c r="F18" s="19">
        <v>3.5665294924554201</v>
      </c>
      <c r="G18" s="19">
        <v>4348.203125</v>
      </c>
      <c r="H18" s="19">
        <v>716</v>
      </c>
      <c r="I18" s="19">
        <v>1.8</v>
      </c>
      <c r="J18" s="19">
        <v>3601.6559999999999</v>
      </c>
      <c r="K18" s="19">
        <v>718</v>
      </c>
      <c r="L18" s="19">
        <v>2.4373</v>
      </c>
      <c r="M18" s="19">
        <v>3623.078125</v>
      </c>
      <c r="N18" s="19">
        <v>715</v>
      </c>
      <c r="O18" s="19">
        <v>1.7</v>
      </c>
      <c r="P18" s="19">
        <v>3634.078</v>
      </c>
    </row>
    <row r="19" spans="1:16" x14ac:dyDescent="0.4">
      <c r="A19" s="1" t="s">
        <v>21</v>
      </c>
      <c r="B19" s="3">
        <v>20</v>
      </c>
      <c r="C19" s="3">
        <v>6</v>
      </c>
      <c r="D19" s="3">
        <v>3</v>
      </c>
      <c r="E19" s="19">
        <v>440</v>
      </c>
      <c r="F19" s="19">
        <v>2.6515200000000001</v>
      </c>
      <c r="G19" s="19">
        <v>3600.28125</v>
      </c>
      <c r="H19" s="19">
        <v>440</v>
      </c>
      <c r="I19" s="19">
        <v>2.6515200000000001</v>
      </c>
      <c r="J19" s="19">
        <v>3601.796875</v>
      </c>
      <c r="K19" s="19">
        <v>441</v>
      </c>
      <c r="L19" s="19">
        <v>2.8722599999999998</v>
      </c>
      <c r="M19" s="19">
        <v>3601.1875</v>
      </c>
      <c r="N19" s="19">
        <v>440</v>
      </c>
      <c r="O19" s="19">
        <v>2.5807500000000001</v>
      </c>
      <c r="P19" s="19">
        <v>3600.890625</v>
      </c>
    </row>
    <row r="20" spans="1:16" x14ac:dyDescent="0.4">
      <c r="A20" s="1" t="s">
        <v>22</v>
      </c>
      <c r="B20" s="3">
        <v>20</v>
      </c>
      <c r="C20" s="3">
        <v>8</v>
      </c>
      <c r="D20" s="3">
        <v>4</v>
      </c>
      <c r="E20" s="19">
        <v>392</v>
      </c>
      <c r="F20" s="19">
        <v>2.4235000000000002</v>
      </c>
      <c r="G20" s="19">
        <v>3600.625</v>
      </c>
      <c r="H20" s="19">
        <v>392</v>
      </c>
      <c r="I20" s="19">
        <v>2.1259000000000001</v>
      </c>
      <c r="J20" s="19">
        <v>3600.953125</v>
      </c>
      <c r="K20" s="19">
        <v>392</v>
      </c>
      <c r="L20" s="19">
        <v>2.4235000000000002</v>
      </c>
      <c r="M20" s="19">
        <v>3600.609375</v>
      </c>
      <c r="N20" s="19">
        <v>391</v>
      </c>
      <c r="O20" s="19">
        <v>2.1739000000000002</v>
      </c>
      <c r="P20" s="19">
        <v>3600.90625</v>
      </c>
    </row>
    <row r="21" spans="1:16" x14ac:dyDescent="0.4">
      <c r="A21" s="1" t="s">
        <v>23</v>
      </c>
      <c r="B21" s="3">
        <v>20</v>
      </c>
      <c r="C21" s="3">
        <v>10</v>
      </c>
      <c r="D21" s="3">
        <v>5</v>
      </c>
      <c r="E21" s="19">
        <v>287</v>
      </c>
      <c r="F21" s="19">
        <v>4.1115000000000004</v>
      </c>
      <c r="G21" s="19">
        <v>3601.171875</v>
      </c>
      <c r="H21" s="19">
        <v>284</v>
      </c>
      <c r="I21" s="19">
        <v>3.2</v>
      </c>
      <c r="J21" s="19">
        <v>3600.7809999999999</v>
      </c>
      <c r="K21" s="19">
        <v>284</v>
      </c>
      <c r="L21" s="19">
        <v>2.9577</v>
      </c>
      <c r="M21" s="19">
        <v>3602.03125</v>
      </c>
      <c r="N21" s="19">
        <v>284</v>
      </c>
      <c r="O21" s="19">
        <v>2.9</v>
      </c>
      <c r="P21" s="19">
        <v>3601.8589999999999</v>
      </c>
    </row>
    <row r="22" spans="1:16" x14ac:dyDescent="0.4">
      <c r="A22" s="1" t="s">
        <v>24</v>
      </c>
      <c r="B22" s="3">
        <v>20</v>
      </c>
      <c r="C22" s="3">
        <v>12</v>
      </c>
      <c r="D22" s="3">
        <v>6</v>
      </c>
      <c r="E22" s="19">
        <v>235</v>
      </c>
      <c r="F22" s="19">
        <v>3.9981</v>
      </c>
      <c r="G22" s="19">
        <v>3605.34375</v>
      </c>
      <c r="H22" s="19">
        <v>233</v>
      </c>
      <c r="I22" s="19">
        <v>3</v>
      </c>
      <c r="J22" s="19">
        <v>3601.3440000000001</v>
      </c>
      <c r="K22" s="19">
        <v>234</v>
      </c>
      <c r="L22" s="19">
        <v>3.1114999999999999</v>
      </c>
      <c r="M22" s="19">
        <v>3603.03125</v>
      </c>
      <c r="N22" s="19">
        <v>233</v>
      </c>
      <c r="O22" s="19">
        <v>3.3</v>
      </c>
      <c r="P22" s="19">
        <v>3603.172</v>
      </c>
    </row>
    <row r="23" spans="1:16" x14ac:dyDescent="0.4">
      <c r="A23" s="1" t="s">
        <v>25</v>
      </c>
      <c r="B23" s="3">
        <v>25</v>
      </c>
      <c r="C23" s="3">
        <v>4</v>
      </c>
      <c r="D23" s="3">
        <v>2</v>
      </c>
      <c r="E23" s="19">
        <v>892</v>
      </c>
      <c r="F23" s="19">
        <v>4.1479820627802697</v>
      </c>
      <c r="G23" s="19">
        <v>7788.84375</v>
      </c>
      <c r="H23" s="19">
        <v>870</v>
      </c>
      <c r="I23" s="19">
        <v>1.72414</v>
      </c>
      <c r="J23" s="19">
        <v>18589.859375</v>
      </c>
      <c r="K23" s="19">
        <v>878</v>
      </c>
      <c r="L23" s="19">
        <v>3.0182199999999999</v>
      </c>
      <c r="M23" s="19">
        <v>4166.640625</v>
      </c>
      <c r="N23" s="19">
        <v>873</v>
      </c>
      <c r="O23" s="19">
        <v>2.0618599999999998</v>
      </c>
      <c r="P23" s="19">
        <v>3684.9375</v>
      </c>
    </row>
    <row r="24" spans="1:16" x14ac:dyDescent="0.4">
      <c r="A24" s="1" t="s">
        <v>26</v>
      </c>
      <c r="B24" s="3">
        <v>25</v>
      </c>
      <c r="C24" s="3">
        <v>6</v>
      </c>
      <c r="D24" s="3">
        <v>3</v>
      </c>
      <c r="E24" s="19">
        <v>543</v>
      </c>
      <c r="F24" s="19">
        <v>14.058199999999999</v>
      </c>
      <c r="G24" s="19">
        <v>40162.875</v>
      </c>
      <c r="H24" s="19">
        <v>537</v>
      </c>
      <c r="I24" s="19">
        <v>3.7244000000000002</v>
      </c>
      <c r="J24" s="19">
        <v>3604.15625</v>
      </c>
      <c r="K24" s="19">
        <v>535</v>
      </c>
      <c r="L24" s="19">
        <v>3.3645</v>
      </c>
      <c r="M24" s="19">
        <v>3616.515625</v>
      </c>
      <c r="N24" s="19">
        <v>534</v>
      </c>
      <c r="O24" s="19">
        <v>3.1835</v>
      </c>
      <c r="P24" s="19">
        <v>3610.78125</v>
      </c>
    </row>
    <row r="25" spans="1:16" x14ac:dyDescent="0.4">
      <c r="A25" s="1" t="s">
        <v>27</v>
      </c>
      <c r="B25" s="3">
        <v>25</v>
      </c>
      <c r="C25" s="3">
        <v>8</v>
      </c>
      <c r="D25" s="3">
        <v>4</v>
      </c>
      <c r="E25" s="19">
        <v>449</v>
      </c>
      <c r="F25" s="19">
        <v>6.4031180400890904</v>
      </c>
      <c r="G25" s="19">
        <v>128020.796875</v>
      </c>
      <c r="H25" s="19">
        <v>431</v>
      </c>
      <c r="I25" s="19">
        <v>2.4477000000000002</v>
      </c>
      <c r="J25" s="19">
        <v>3601.40625</v>
      </c>
      <c r="K25" s="19">
        <v>431</v>
      </c>
      <c r="L25" s="19">
        <v>2.4361999999999999</v>
      </c>
      <c r="M25" s="19">
        <v>3601.6875</v>
      </c>
      <c r="N25" s="19">
        <v>432</v>
      </c>
      <c r="O25" s="19">
        <v>2.6806999999999999</v>
      </c>
      <c r="P25" s="19">
        <v>3602.828125</v>
      </c>
    </row>
    <row r="26" spans="1:16" x14ac:dyDescent="0.4">
      <c r="A26" s="1" t="s">
        <v>28</v>
      </c>
      <c r="B26" s="3">
        <v>25</v>
      </c>
      <c r="C26" s="3">
        <v>10</v>
      </c>
      <c r="D26" s="3">
        <v>5</v>
      </c>
      <c r="E26" s="19">
        <v>391</v>
      </c>
      <c r="F26" s="19">
        <v>11.0485933503836</v>
      </c>
      <c r="G26" s="19">
        <v>562113.984375</v>
      </c>
      <c r="H26" s="19">
        <v>359</v>
      </c>
      <c r="I26" s="19">
        <v>2.7459600000000002</v>
      </c>
      <c r="J26" s="19">
        <v>3607.484375</v>
      </c>
      <c r="K26" s="19">
        <v>359</v>
      </c>
      <c r="L26" s="19">
        <v>2.6740900000000001</v>
      </c>
      <c r="M26" s="19">
        <v>3604.421875</v>
      </c>
      <c r="N26" s="19">
        <v>360</v>
      </c>
      <c r="O26" s="19">
        <v>3.0384600000000002</v>
      </c>
      <c r="P26" s="19">
        <v>3607.875</v>
      </c>
    </row>
    <row r="27" spans="1:16" x14ac:dyDescent="0.4">
      <c r="A27" s="1" t="s">
        <v>29</v>
      </c>
      <c r="B27" s="3">
        <v>25</v>
      </c>
      <c r="C27" s="3">
        <v>12</v>
      </c>
      <c r="D27" s="3">
        <v>6</v>
      </c>
      <c r="E27" s="19">
        <v>306</v>
      </c>
      <c r="F27" s="19">
        <v>4.7385999999999999</v>
      </c>
      <c r="G27" s="19">
        <v>3605.265625</v>
      </c>
      <c r="H27" s="19">
        <v>304</v>
      </c>
      <c r="I27" s="19">
        <v>4.4161000000000001</v>
      </c>
      <c r="J27" s="19">
        <v>3607.28125</v>
      </c>
      <c r="K27" s="19">
        <v>304</v>
      </c>
      <c r="L27" s="19">
        <v>4.1117999999999997</v>
      </c>
      <c r="M27" s="19">
        <v>3604.125</v>
      </c>
      <c r="N27" s="19">
        <v>303</v>
      </c>
      <c r="O27" s="19">
        <v>4.0644</v>
      </c>
      <c r="P27" s="19">
        <v>3609.8125</v>
      </c>
    </row>
  </sheetData>
  <mergeCells count="7">
    <mergeCell ref="E1:G1"/>
    <mergeCell ref="H1:J1"/>
    <mergeCell ref="K1:M1"/>
    <mergeCell ref="N1:P1"/>
    <mergeCell ref="B1:B2"/>
    <mergeCell ref="C1:C2"/>
    <mergeCell ref="D1:D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selection activeCell="K8" sqref="K8"/>
    </sheetView>
  </sheetViews>
  <sheetFormatPr defaultColWidth="9" defaultRowHeight="14.35" x14ac:dyDescent="0.4"/>
  <sheetData>
    <row r="1" spans="1:10" x14ac:dyDescent="0.4">
      <c r="B1" s="19"/>
      <c r="C1" s="19"/>
      <c r="D1" s="19"/>
      <c r="E1" s="33" t="s">
        <v>100</v>
      </c>
      <c r="F1" s="34"/>
      <c r="G1" s="34"/>
      <c r="H1" s="33" t="s">
        <v>101</v>
      </c>
      <c r="I1" s="34"/>
      <c r="J1" s="34"/>
    </row>
    <row r="2" spans="1:10" x14ac:dyDescent="0.4">
      <c r="B2" s="19" t="s">
        <v>0</v>
      </c>
      <c r="C2" s="19" t="s">
        <v>1</v>
      </c>
      <c r="D2" s="19" t="s">
        <v>2</v>
      </c>
      <c r="E2" s="28" t="s">
        <v>96</v>
      </c>
      <c r="F2" s="21" t="s">
        <v>3</v>
      </c>
      <c r="G2" s="19" t="s">
        <v>4</v>
      </c>
      <c r="H2" s="28" t="s">
        <v>96</v>
      </c>
      <c r="I2" s="21" t="s">
        <v>3</v>
      </c>
      <c r="J2" s="19" t="s">
        <v>4</v>
      </c>
    </row>
    <row r="3" spans="1:10" x14ac:dyDescent="0.4">
      <c r="A3" t="s">
        <v>5</v>
      </c>
      <c r="B3">
        <v>5</v>
      </c>
      <c r="C3">
        <v>4</v>
      </c>
      <c r="D3">
        <v>2</v>
      </c>
      <c r="E3">
        <v>169</v>
      </c>
      <c r="F3">
        <v>0</v>
      </c>
      <c r="G3">
        <v>0.70299999999999996</v>
      </c>
      <c r="H3">
        <v>169</v>
      </c>
      <c r="I3">
        <f>[1]!ScheLoc_ST_Small_SPmodelTest_summarize[[#This Row],[Column20]]*100</f>
        <v>0</v>
      </c>
      <c r="J3">
        <v>3.125E-2</v>
      </c>
    </row>
    <row r="4" spans="1:10" x14ac:dyDescent="0.4">
      <c r="A4" t="s">
        <v>6</v>
      </c>
      <c r="B4">
        <v>5</v>
      </c>
      <c r="C4">
        <v>6</v>
      </c>
      <c r="D4">
        <v>3</v>
      </c>
      <c r="E4">
        <v>164</v>
      </c>
      <c r="F4">
        <v>0</v>
      </c>
      <c r="G4">
        <v>1.0309999999999999</v>
      </c>
      <c r="H4">
        <v>164</v>
      </c>
      <c r="I4">
        <f>[1]!ScheLoc_ST_Small_SPmodelTest_summarize[[#This Row],[Column20]]*100</f>
        <v>0</v>
      </c>
      <c r="J4">
        <v>3.125E-2</v>
      </c>
    </row>
    <row r="5" spans="1:10" x14ac:dyDescent="0.4">
      <c r="A5" t="s">
        <v>7</v>
      </c>
      <c r="B5">
        <v>5</v>
      </c>
      <c r="C5">
        <v>8</v>
      </c>
      <c r="D5">
        <v>4</v>
      </c>
      <c r="E5">
        <v>122</v>
      </c>
      <c r="F5">
        <v>0</v>
      </c>
      <c r="G5">
        <v>0.375</v>
      </c>
      <c r="H5">
        <v>122</v>
      </c>
      <c r="I5">
        <f>[1]!ScheLoc_ST_Small_SPmodelTest_summarize[[#This Row],[Column20]]*100</f>
        <v>0</v>
      </c>
      <c r="J5">
        <v>1.5625E-2</v>
      </c>
    </row>
    <row r="6" spans="1:10" x14ac:dyDescent="0.4">
      <c r="A6" t="s">
        <v>8</v>
      </c>
      <c r="B6">
        <v>5</v>
      </c>
      <c r="C6">
        <v>10</v>
      </c>
      <c r="D6">
        <v>5</v>
      </c>
      <c r="E6">
        <v>107</v>
      </c>
      <c r="F6">
        <v>0</v>
      </c>
      <c r="G6">
        <v>0.42199999999999999</v>
      </c>
      <c r="H6">
        <v>107</v>
      </c>
      <c r="I6">
        <f>[1]!ScheLoc_ST_Small_SPmodelTest_summarize[[#This Row],[Column20]]*100</f>
        <v>0</v>
      </c>
      <c r="J6">
        <v>1.5625E-2</v>
      </c>
    </row>
    <row r="7" spans="1:10" x14ac:dyDescent="0.4">
      <c r="A7" t="s">
        <v>9</v>
      </c>
      <c r="B7">
        <v>5</v>
      </c>
      <c r="C7">
        <v>12</v>
      </c>
      <c r="D7">
        <v>6</v>
      </c>
      <c r="E7">
        <v>103</v>
      </c>
      <c r="F7">
        <v>0</v>
      </c>
      <c r="G7">
        <v>0.67200000000000004</v>
      </c>
      <c r="H7">
        <v>103</v>
      </c>
      <c r="I7">
        <f>[1]!ScheLoc_ST_Small_SPmodelTest_summarize[[#This Row],[Column20]]*100</f>
        <v>0</v>
      </c>
      <c r="J7">
        <v>1.5625E-2</v>
      </c>
    </row>
    <row r="8" spans="1:10" x14ac:dyDescent="0.4">
      <c r="A8" t="s">
        <v>10</v>
      </c>
      <c r="B8">
        <v>10</v>
      </c>
      <c r="C8">
        <v>4</v>
      </c>
      <c r="D8">
        <v>2</v>
      </c>
      <c r="E8">
        <v>350</v>
      </c>
      <c r="F8">
        <v>0</v>
      </c>
      <c r="G8">
        <v>28.905999999999999</v>
      </c>
      <c r="H8">
        <v>350</v>
      </c>
      <c r="I8">
        <f>[1]!ScheLoc_ST_Small_SPmodelTest_summarize[[#This Row],[Column20]]*100</f>
        <v>0</v>
      </c>
      <c r="J8">
        <v>2.96875</v>
      </c>
    </row>
    <row r="9" spans="1:10" x14ac:dyDescent="0.4">
      <c r="A9" t="s">
        <v>11</v>
      </c>
      <c r="B9">
        <v>10</v>
      </c>
      <c r="C9">
        <v>6</v>
      </c>
      <c r="D9">
        <v>3</v>
      </c>
      <c r="E9">
        <v>228</v>
      </c>
      <c r="F9">
        <v>0</v>
      </c>
      <c r="G9">
        <v>10.016</v>
      </c>
      <c r="H9">
        <v>228</v>
      </c>
      <c r="I9">
        <f>[1]!ScheLoc_ST_Small_SPmodelTest_summarize[[#This Row],[Column20]]*100</f>
        <v>0</v>
      </c>
      <c r="J9">
        <v>0.421875</v>
      </c>
    </row>
    <row r="10" spans="1:10" x14ac:dyDescent="0.4">
      <c r="A10" t="s">
        <v>12</v>
      </c>
      <c r="B10">
        <v>10</v>
      </c>
      <c r="C10">
        <v>8</v>
      </c>
      <c r="D10">
        <v>4</v>
      </c>
      <c r="E10">
        <v>178</v>
      </c>
      <c r="F10">
        <v>0</v>
      </c>
      <c r="G10">
        <v>12.952999999999999</v>
      </c>
      <c r="H10">
        <v>178</v>
      </c>
      <c r="I10">
        <f>[1]!ScheLoc_ST_Small_SPmodelTest_summarize[[#This Row],[Column20]]*100</f>
        <v>2.5999999999999999E-3</v>
      </c>
      <c r="J10">
        <v>4.03125</v>
      </c>
    </row>
    <row r="11" spans="1:10" x14ac:dyDescent="0.4">
      <c r="A11" t="s">
        <v>13</v>
      </c>
      <c r="B11">
        <v>10</v>
      </c>
      <c r="C11">
        <v>10</v>
      </c>
      <c r="D11">
        <v>5</v>
      </c>
      <c r="E11">
        <v>153</v>
      </c>
      <c r="F11">
        <v>0</v>
      </c>
      <c r="G11">
        <v>15.327999999999999</v>
      </c>
      <c r="H11">
        <v>153</v>
      </c>
      <c r="I11">
        <f>[1]!ScheLoc_ST_Small_SPmodelTest_summarize[[#This Row],[Column20]]*100</f>
        <v>0</v>
      </c>
      <c r="J11">
        <v>7.015625</v>
      </c>
    </row>
    <row r="12" spans="1:10" x14ac:dyDescent="0.4">
      <c r="A12" t="s">
        <v>14</v>
      </c>
      <c r="B12">
        <v>10</v>
      </c>
      <c r="C12">
        <v>12</v>
      </c>
      <c r="D12">
        <v>6</v>
      </c>
      <c r="E12">
        <v>160</v>
      </c>
      <c r="F12">
        <v>0</v>
      </c>
      <c r="G12">
        <v>108.422</v>
      </c>
      <c r="H12">
        <v>160</v>
      </c>
      <c r="I12">
        <f>[1]!ScheLoc_ST_Small_SPmodelTest_summarize[[#This Row],[Column20]]*100</f>
        <v>7.7000000000000002E-3</v>
      </c>
      <c r="J12">
        <v>74.140625</v>
      </c>
    </row>
    <row r="13" spans="1:10" x14ac:dyDescent="0.4">
      <c r="A13" t="s">
        <v>15</v>
      </c>
      <c r="B13">
        <v>15</v>
      </c>
      <c r="C13">
        <v>4</v>
      </c>
      <c r="D13">
        <v>2</v>
      </c>
      <c r="E13">
        <v>587</v>
      </c>
      <c r="F13">
        <v>0</v>
      </c>
      <c r="G13">
        <v>289.40600000000001</v>
      </c>
      <c r="H13">
        <v>587</v>
      </c>
      <c r="I13">
        <f>[1]!ScheLoc_ST_Small_SPmodelTest_summarize[[#This Row],[Column20]]*100</f>
        <v>1.8738999999999999</v>
      </c>
      <c r="J13">
        <v>3635.03125</v>
      </c>
    </row>
    <row r="14" spans="1:10" x14ac:dyDescent="0.4">
      <c r="A14" t="s">
        <v>16</v>
      </c>
      <c r="B14">
        <v>15</v>
      </c>
      <c r="C14">
        <v>6</v>
      </c>
      <c r="D14">
        <v>3</v>
      </c>
      <c r="E14">
        <v>394</v>
      </c>
      <c r="F14">
        <v>0</v>
      </c>
      <c r="G14">
        <v>330.26600000000002</v>
      </c>
      <c r="H14">
        <v>394</v>
      </c>
      <c r="I14">
        <f>[1]!ScheLoc_ST_Small_SPmodelTest_summarize[[#This Row],[Column20]]*100</f>
        <v>9.9000000000000008E-3</v>
      </c>
      <c r="J14">
        <v>158.0625</v>
      </c>
    </row>
    <row r="15" spans="1:10" x14ac:dyDescent="0.4">
      <c r="A15" t="s">
        <v>17</v>
      </c>
      <c r="B15">
        <v>15</v>
      </c>
      <c r="C15">
        <v>8</v>
      </c>
      <c r="D15">
        <v>4</v>
      </c>
      <c r="E15">
        <v>297</v>
      </c>
      <c r="F15">
        <v>0</v>
      </c>
      <c r="G15">
        <v>819.23400000000004</v>
      </c>
      <c r="H15">
        <v>297</v>
      </c>
      <c r="I15">
        <f>[1]!ScheLoc_ST_Small_SPmodelTest_summarize[[#This Row],[Column20]]*100</f>
        <v>0.01</v>
      </c>
      <c r="J15">
        <v>477.265625</v>
      </c>
    </row>
    <row r="16" spans="1:10" x14ac:dyDescent="0.4">
      <c r="A16" t="s">
        <v>18</v>
      </c>
      <c r="B16">
        <v>15</v>
      </c>
      <c r="C16">
        <v>10</v>
      </c>
      <c r="D16">
        <v>5</v>
      </c>
      <c r="E16">
        <v>210</v>
      </c>
      <c r="F16">
        <v>0</v>
      </c>
      <c r="G16">
        <v>1773.703</v>
      </c>
      <c r="H16">
        <v>210</v>
      </c>
      <c r="I16">
        <f>[1]!ScheLoc_ST_Small_SPmodelTest_summarize[[#This Row],[Column20]]*100</f>
        <v>0.01</v>
      </c>
      <c r="J16">
        <v>717.3125</v>
      </c>
    </row>
    <row r="17" spans="1:10" x14ac:dyDescent="0.4">
      <c r="A17" t="s">
        <v>19</v>
      </c>
      <c r="B17">
        <v>15</v>
      </c>
      <c r="C17">
        <v>12</v>
      </c>
      <c r="D17">
        <v>6</v>
      </c>
      <c r="E17">
        <v>180</v>
      </c>
      <c r="F17">
        <v>0</v>
      </c>
      <c r="G17">
        <v>2284.1880000000001</v>
      </c>
      <c r="H17">
        <v>180</v>
      </c>
      <c r="I17">
        <f>[1]!ScheLoc_ST_Small_SPmodelTest_summarize[[#This Row],[Column20]]*100</f>
        <v>9.7999999999999997E-3</v>
      </c>
      <c r="J17">
        <v>1639.578125</v>
      </c>
    </row>
    <row r="18" spans="1:10" x14ac:dyDescent="0.4">
      <c r="A18" t="s">
        <v>20</v>
      </c>
      <c r="B18">
        <v>20</v>
      </c>
      <c r="C18">
        <v>4</v>
      </c>
      <c r="D18">
        <v>2</v>
      </c>
      <c r="E18">
        <v>715</v>
      </c>
      <c r="F18">
        <v>1.7</v>
      </c>
      <c r="G18">
        <v>3634.078</v>
      </c>
      <c r="H18">
        <v>729</v>
      </c>
      <c r="I18">
        <v>3.5665</v>
      </c>
      <c r="J18">
        <v>23721.296875</v>
      </c>
    </row>
    <row r="19" spans="1:10" x14ac:dyDescent="0.4">
      <c r="A19" t="s">
        <v>21</v>
      </c>
      <c r="B19">
        <v>20</v>
      </c>
      <c r="C19">
        <v>6</v>
      </c>
      <c r="D19">
        <v>3</v>
      </c>
      <c r="E19">
        <v>440</v>
      </c>
      <c r="F19">
        <v>2.5807500000000001</v>
      </c>
      <c r="G19">
        <v>3600.890625</v>
      </c>
      <c r="H19">
        <v>443</v>
      </c>
      <c r="I19">
        <f>[1]!ScheLoc_ST_Small_SPmodelTest_summarize[[#This Row],[Column20]]*100</f>
        <v>3.3107600000000001</v>
      </c>
      <c r="J19">
        <v>4210.6875</v>
      </c>
    </row>
    <row r="20" spans="1:10" x14ac:dyDescent="0.4">
      <c r="A20" t="s">
        <v>22</v>
      </c>
      <c r="B20">
        <v>20</v>
      </c>
      <c r="C20">
        <v>8</v>
      </c>
      <c r="D20">
        <v>4</v>
      </c>
      <c r="E20">
        <v>391</v>
      </c>
      <c r="F20">
        <v>2.1739000000000002</v>
      </c>
      <c r="G20">
        <v>3600.90625</v>
      </c>
      <c r="H20">
        <v>390</v>
      </c>
      <c r="I20">
        <f>[1]!ScheLoc_ST_Small_SPmodelTest_summarize[[#This Row],[Column20]]*100</f>
        <v>1.8944000000000001</v>
      </c>
      <c r="J20">
        <v>3612.03125</v>
      </c>
    </row>
    <row r="21" spans="1:10" x14ac:dyDescent="0.4">
      <c r="A21" t="s">
        <v>23</v>
      </c>
      <c r="B21">
        <v>20</v>
      </c>
      <c r="C21">
        <v>10</v>
      </c>
      <c r="D21">
        <v>5</v>
      </c>
      <c r="E21">
        <v>284</v>
      </c>
      <c r="F21">
        <v>2.9</v>
      </c>
      <c r="G21">
        <v>3601.8589999999999</v>
      </c>
      <c r="H21">
        <v>284</v>
      </c>
      <c r="I21">
        <f>[1]!ScheLoc_ST_Small_SPmodelTest_summarize[[#This Row],[Column20]]*100</f>
        <v>2.9577</v>
      </c>
      <c r="J21">
        <v>3601.265625</v>
      </c>
    </row>
    <row r="22" spans="1:10" x14ac:dyDescent="0.4">
      <c r="A22" t="s">
        <v>24</v>
      </c>
      <c r="B22">
        <v>20</v>
      </c>
      <c r="C22">
        <v>12</v>
      </c>
      <c r="D22">
        <v>6</v>
      </c>
      <c r="E22">
        <v>233</v>
      </c>
      <c r="F22">
        <v>3.3</v>
      </c>
      <c r="G22">
        <v>3603.172</v>
      </c>
      <c r="H22">
        <v>233</v>
      </c>
      <c r="I22">
        <f>[1]!ScheLoc_ST_Small_SPmodelTest_summarize[[#This Row],[Column20]]*100</f>
        <v>3.0949</v>
      </c>
      <c r="J22">
        <v>3603.25</v>
      </c>
    </row>
    <row r="23" spans="1:10" x14ac:dyDescent="0.4">
      <c r="A23" t="s">
        <v>25</v>
      </c>
      <c r="B23">
        <v>25</v>
      </c>
      <c r="C23">
        <v>4</v>
      </c>
      <c r="D23">
        <v>2</v>
      </c>
      <c r="E23">
        <v>873</v>
      </c>
      <c r="F23">
        <v>2.0618599999999998</v>
      </c>
      <c r="G23">
        <v>3684.9375</v>
      </c>
      <c r="H23">
        <v>892</v>
      </c>
      <c r="I23">
        <v>4.1479999999999997</v>
      </c>
      <c r="J23">
        <v>3600</v>
      </c>
    </row>
    <row r="24" spans="1:10" x14ac:dyDescent="0.4">
      <c r="A24" t="s">
        <v>26</v>
      </c>
      <c r="B24">
        <v>25</v>
      </c>
      <c r="C24">
        <v>6</v>
      </c>
      <c r="D24">
        <v>3</v>
      </c>
      <c r="E24">
        <v>534</v>
      </c>
      <c r="F24">
        <v>3.1835</v>
      </c>
      <c r="G24">
        <v>3610.78125</v>
      </c>
      <c r="H24">
        <v>556</v>
      </c>
      <c r="I24">
        <v>7.0743</v>
      </c>
      <c r="J24">
        <v>3600</v>
      </c>
    </row>
    <row r="25" spans="1:10" x14ac:dyDescent="0.4">
      <c r="A25" t="s">
        <v>27</v>
      </c>
      <c r="B25">
        <v>25</v>
      </c>
      <c r="C25">
        <v>8</v>
      </c>
      <c r="D25">
        <v>4</v>
      </c>
      <c r="E25">
        <v>432</v>
      </c>
      <c r="F25">
        <v>2.6806999999999999</v>
      </c>
      <c r="G25">
        <v>3602.828125</v>
      </c>
      <c r="H25">
        <v>449</v>
      </c>
      <c r="I25">
        <v>6.4031000000000002</v>
      </c>
      <c r="J25">
        <v>3600</v>
      </c>
    </row>
    <row r="26" spans="1:10" x14ac:dyDescent="0.4">
      <c r="A26" t="s">
        <v>28</v>
      </c>
      <c r="B26">
        <v>25</v>
      </c>
      <c r="C26">
        <v>10</v>
      </c>
      <c r="D26">
        <v>5</v>
      </c>
      <c r="E26">
        <v>360</v>
      </c>
      <c r="F26">
        <v>3.0384600000000002</v>
      </c>
      <c r="G26">
        <v>3607.875</v>
      </c>
      <c r="H26">
        <v>391</v>
      </c>
      <c r="I26">
        <v>11.048500000000001</v>
      </c>
      <c r="J26">
        <v>3600</v>
      </c>
    </row>
    <row r="27" spans="1:10" x14ac:dyDescent="0.4">
      <c r="A27" t="s">
        <v>29</v>
      </c>
      <c r="B27">
        <v>25</v>
      </c>
      <c r="C27">
        <v>12</v>
      </c>
      <c r="D27">
        <v>6</v>
      </c>
      <c r="E27">
        <v>303</v>
      </c>
      <c r="F27">
        <v>4.0644</v>
      </c>
      <c r="G27">
        <v>3609.8125</v>
      </c>
      <c r="H27">
        <v>338</v>
      </c>
      <c r="I27">
        <v>14.595700000000001</v>
      </c>
      <c r="J27">
        <v>3600</v>
      </c>
    </row>
  </sheetData>
  <mergeCells count="2">
    <mergeCell ref="E1:G1"/>
    <mergeCell ref="H1:J1"/>
  </mergeCells>
  <phoneticPr fontId="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7"/>
  <sheetViews>
    <sheetView zoomScale="70" zoomScaleNormal="70" workbookViewId="0">
      <selection activeCell="P27" sqref="P27"/>
    </sheetView>
  </sheetViews>
  <sheetFormatPr defaultColWidth="9" defaultRowHeight="14.35" x14ac:dyDescent="0.4"/>
  <sheetData>
    <row r="1" spans="1:19" x14ac:dyDescent="0.4">
      <c r="A1" s="1"/>
      <c r="B1" s="37" t="s">
        <v>0</v>
      </c>
      <c r="C1" s="39" t="s">
        <v>1</v>
      </c>
      <c r="D1" s="39" t="s">
        <v>2</v>
      </c>
      <c r="E1" s="40" t="s">
        <v>93</v>
      </c>
      <c r="F1" s="41"/>
      <c r="G1" s="41"/>
      <c r="H1" s="41"/>
      <c r="I1" s="42"/>
      <c r="J1" s="40" t="s">
        <v>94</v>
      </c>
      <c r="K1" s="41"/>
      <c r="L1" s="41"/>
      <c r="M1" s="41"/>
      <c r="N1" s="42"/>
      <c r="O1" s="40" t="s">
        <v>95</v>
      </c>
      <c r="P1" s="41"/>
      <c r="Q1" s="41"/>
      <c r="R1" s="41"/>
      <c r="S1" s="41"/>
    </row>
    <row r="2" spans="1:19" x14ac:dyDescent="0.4">
      <c r="A2" s="1"/>
      <c r="B2" s="38"/>
      <c r="C2" s="34"/>
      <c r="D2" s="34"/>
      <c r="E2" s="25" t="s">
        <v>96</v>
      </c>
      <c r="F2" s="26" t="s">
        <v>42</v>
      </c>
      <c r="G2" s="26" t="s">
        <v>43</v>
      </c>
      <c r="H2" s="26" t="s">
        <v>44</v>
      </c>
      <c r="I2" s="26" t="s">
        <v>45</v>
      </c>
      <c r="J2" s="26" t="s">
        <v>41</v>
      </c>
      <c r="K2" s="26" t="s">
        <v>42</v>
      </c>
      <c r="L2" s="26" t="s">
        <v>43</v>
      </c>
      <c r="M2" s="26" t="s">
        <v>44</v>
      </c>
      <c r="N2" s="26" t="s">
        <v>45</v>
      </c>
      <c r="O2" s="26" t="s">
        <v>41</v>
      </c>
      <c r="P2" s="26" t="s">
        <v>42</v>
      </c>
      <c r="Q2" s="26" t="s">
        <v>43</v>
      </c>
      <c r="R2" s="26" t="s">
        <v>44</v>
      </c>
      <c r="S2" s="26" t="s">
        <v>45</v>
      </c>
    </row>
    <row r="3" spans="1:19" x14ac:dyDescent="0.4">
      <c r="A3" s="1" t="s">
        <v>5</v>
      </c>
      <c r="B3" s="3">
        <v>5</v>
      </c>
      <c r="C3" s="3">
        <v>4</v>
      </c>
      <c r="D3" s="3">
        <v>2</v>
      </c>
      <c r="E3" s="24">
        <v>169</v>
      </c>
      <c r="F3" s="24">
        <v>0</v>
      </c>
      <c r="G3" s="24">
        <v>7</v>
      </c>
      <c r="H3" s="24">
        <v>14</v>
      </c>
      <c r="I3" s="24">
        <v>7.8125E-2</v>
      </c>
      <c r="J3" s="24">
        <v>169</v>
      </c>
      <c r="K3" s="24">
        <v>0</v>
      </c>
      <c r="L3" s="24">
        <v>5</v>
      </c>
      <c r="M3" s="24">
        <v>14</v>
      </c>
      <c r="N3" s="24">
        <v>0</v>
      </c>
      <c r="O3" s="24">
        <v>169</v>
      </c>
      <c r="P3" s="24">
        <f>[2]!ScheLoc_ST_Small_Complete_LBBD_CutTest_summarize[[#This Row],[Column20]]*100</f>
        <v>0</v>
      </c>
      <c r="Q3" s="24">
        <v>5</v>
      </c>
      <c r="R3" s="24">
        <v>14</v>
      </c>
      <c r="S3" s="24">
        <v>0.70299999999999996</v>
      </c>
    </row>
    <row r="4" spans="1:19" x14ac:dyDescent="0.4">
      <c r="A4" s="22" t="s">
        <v>6</v>
      </c>
      <c r="B4" s="3">
        <v>5</v>
      </c>
      <c r="C4" s="3">
        <v>6</v>
      </c>
      <c r="D4" s="3">
        <v>3</v>
      </c>
      <c r="E4" s="24">
        <v>164</v>
      </c>
      <c r="F4" s="24">
        <v>0</v>
      </c>
      <c r="G4" s="24">
        <v>11</v>
      </c>
      <c r="H4" s="24">
        <v>33</v>
      </c>
      <c r="I4" s="24">
        <v>0.15625</v>
      </c>
      <c r="J4" s="24">
        <v>164</v>
      </c>
      <c r="K4" s="24">
        <v>0</v>
      </c>
      <c r="L4" s="24">
        <v>11</v>
      </c>
      <c r="M4" s="24">
        <v>36</v>
      </c>
      <c r="N4" s="24">
        <v>4.6875E-2</v>
      </c>
      <c r="O4" s="24">
        <v>164</v>
      </c>
      <c r="P4" s="24">
        <f>[2]!ScheLoc_ST_Small_Complete_LBBD_CutTest_summarize[[#This Row],[Column20]]*100</f>
        <v>0</v>
      </c>
      <c r="Q4" s="24">
        <v>11</v>
      </c>
      <c r="R4" s="24">
        <v>36</v>
      </c>
      <c r="S4" s="24">
        <v>1.0309999999999999</v>
      </c>
    </row>
    <row r="5" spans="1:19" x14ac:dyDescent="0.4">
      <c r="A5" s="1" t="s">
        <v>7</v>
      </c>
      <c r="B5" s="3">
        <v>5</v>
      </c>
      <c r="C5" s="3">
        <v>8</v>
      </c>
      <c r="D5" s="3">
        <v>4</v>
      </c>
      <c r="E5" s="24">
        <v>122</v>
      </c>
      <c r="F5" s="24">
        <v>0</v>
      </c>
      <c r="G5" s="24">
        <v>6</v>
      </c>
      <c r="H5" s="24">
        <v>24</v>
      </c>
      <c r="I5" s="24">
        <v>6.25E-2</v>
      </c>
      <c r="J5" s="24">
        <v>122</v>
      </c>
      <c r="K5" s="24">
        <v>0</v>
      </c>
      <c r="L5" s="24">
        <v>6</v>
      </c>
      <c r="M5" s="24">
        <v>24</v>
      </c>
      <c r="N5" s="24">
        <v>1.5625E-2</v>
      </c>
      <c r="O5" s="24">
        <v>122</v>
      </c>
      <c r="P5" s="24">
        <f>[2]!ScheLoc_ST_Small_Complete_LBBD_CutTest_summarize[[#This Row],[Column20]]*100</f>
        <v>0</v>
      </c>
      <c r="Q5" s="24">
        <v>6</v>
      </c>
      <c r="R5" s="24">
        <v>24</v>
      </c>
      <c r="S5" s="24">
        <v>0.375</v>
      </c>
    </row>
    <row r="6" spans="1:19" x14ac:dyDescent="0.4">
      <c r="A6" s="1" t="s">
        <v>8</v>
      </c>
      <c r="B6" s="3">
        <v>5</v>
      </c>
      <c r="C6" s="3">
        <v>10</v>
      </c>
      <c r="D6" s="3">
        <v>5</v>
      </c>
      <c r="E6" s="24">
        <v>107</v>
      </c>
      <c r="F6" s="24">
        <v>0</v>
      </c>
      <c r="G6" s="24">
        <v>2</v>
      </c>
      <c r="H6" s="24">
        <v>10</v>
      </c>
      <c r="I6" s="24">
        <v>7.8125E-2</v>
      </c>
      <c r="J6" s="24">
        <v>107</v>
      </c>
      <c r="K6" s="24">
        <v>0</v>
      </c>
      <c r="L6" s="24">
        <v>2</v>
      </c>
      <c r="M6" s="24">
        <v>10</v>
      </c>
      <c r="N6" s="24">
        <v>3.125E-2</v>
      </c>
      <c r="O6" s="24">
        <v>107</v>
      </c>
      <c r="P6" s="24">
        <f>[2]!ScheLoc_ST_Small_Complete_LBBD_CutTest_summarize[[#This Row],[Column20]]*100</f>
        <v>0</v>
      </c>
      <c r="Q6" s="24">
        <v>2</v>
      </c>
      <c r="R6" s="24">
        <v>10</v>
      </c>
      <c r="S6" s="24">
        <v>0.42199999999999999</v>
      </c>
    </row>
    <row r="7" spans="1:19" x14ac:dyDescent="0.4">
      <c r="A7" s="1" t="s">
        <v>9</v>
      </c>
      <c r="B7" s="3">
        <v>5</v>
      </c>
      <c r="C7" s="3">
        <v>12</v>
      </c>
      <c r="D7" s="3">
        <v>6</v>
      </c>
      <c r="E7" s="24">
        <v>103</v>
      </c>
      <c r="F7" s="24">
        <v>0</v>
      </c>
      <c r="G7" s="24">
        <v>4</v>
      </c>
      <c r="H7" s="24">
        <v>18</v>
      </c>
      <c r="I7" s="24">
        <v>6.25E-2</v>
      </c>
      <c r="J7" s="24">
        <v>103</v>
      </c>
      <c r="K7" s="24">
        <v>0</v>
      </c>
      <c r="L7" s="24">
        <v>4</v>
      </c>
      <c r="M7" s="24">
        <v>18</v>
      </c>
      <c r="N7" s="24">
        <v>3.125E-2</v>
      </c>
      <c r="O7" s="24">
        <v>103</v>
      </c>
      <c r="P7" s="24">
        <f>[2]!ScheLoc_ST_Small_Complete_LBBD_CutTest_summarize[[#This Row],[Column20]]*100</f>
        <v>0</v>
      </c>
      <c r="Q7" s="24">
        <v>4</v>
      </c>
      <c r="R7" s="24">
        <v>18</v>
      </c>
      <c r="S7" s="24">
        <v>0.67200000000000004</v>
      </c>
    </row>
    <row r="8" spans="1:19" x14ac:dyDescent="0.4">
      <c r="A8" s="1" t="s">
        <v>10</v>
      </c>
      <c r="B8" s="3">
        <v>10</v>
      </c>
      <c r="C8" s="3">
        <v>4</v>
      </c>
      <c r="D8" s="3">
        <v>2</v>
      </c>
      <c r="E8" s="24">
        <v>350</v>
      </c>
      <c r="F8" s="24">
        <v>0</v>
      </c>
      <c r="G8" s="24">
        <v>123</v>
      </c>
      <c r="H8" s="24">
        <v>246</v>
      </c>
      <c r="I8" s="24">
        <v>1.203125</v>
      </c>
      <c r="J8" s="24">
        <v>350</v>
      </c>
      <c r="K8" s="24">
        <v>0</v>
      </c>
      <c r="L8" s="24">
        <v>136</v>
      </c>
      <c r="M8" s="24">
        <v>424</v>
      </c>
      <c r="N8" s="24">
        <v>0.984375</v>
      </c>
      <c r="O8" s="24">
        <v>350</v>
      </c>
      <c r="P8" s="24">
        <f>[2]!ScheLoc_ST_Small_Complete_LBBD_CutTest_summarize[[#This Row],[Column20]]*100</f>
        <v>0</v>
      </c>
      <c r="Q8" s="24">
        <v>130</v>
      </c>
      <c r="R8" s="24">
        <v>407</v>
      </c>
      <c r="S8" s="24">
        <v>28.905999999999999</v>
      </c>
    </row>
    <row r="9" spans="1:19" x14ac:dyDescent="0.4">
      <c r="A9" s="1" t="s">
        <v>11</v>
      </c>
      <c r="B9" s="3">
        <v>10</v>
      </c>
      <c r="C9" s="3">
        <v>6</v>
      </c>
      <c r="D9" s="3">
        <v>3</v>
      </c>
      <c r="E9" s="24">
        <v>228</v>
      </c>
      <c r="F9" s="24">
        <v>0</v>
      </c>
      <c r="G9" s="24">
        <v>39</v>
      </c>
      <c r="H9" s="24">
        <v>117</v>
      </c>
      <c r="I9" s="24">
        <v>0.890625</v>
      </c>
      <c r="J9" s="24">
        <v>228</v>
      </c>
      <c r="K9" s="24">
        <v>0</v>
      </c>
      <c r="L9" s="24">
        <v>58</v>
      </c>
      <c r="M9" s="24">
        <v>247</v>
      </c>
      <c r="N9" s="24">
        <v>0.875</v>
      </c>
      <c r="O9" s="24">
        <v>228</v>
      </c>
      <c r="P9" s="24">
        <f>[2]!ScheLoc_ST_Small_Complete_LBBD_CutTest_summarize[[#This Row],[Column20]]*100</f>
        <v>0</v>
      </c>
      <c r="Q9" s="24">
        <v>56</v>
      </c>
      <c r="R9" s="24">
        <v>239</v>
      </c>
      <c r="S9" s="24">
        <v>10.016</v>
      </c>
    </row>
    <row r="10" spans="1:19" x14ac:dyDescent="0.4">
      <c r="A10" s="1" t="s">
        <v>12</v>
      </c>
      <c r="B10" s="3">
        <v>10</v>
      </c>
      <c r="C10" s="3">
        <v>8</v>
      </c>
      <c r="D10" s="3">
        <v>4</v>
      </c>
      <c r="E10" s="24">
        <v>178</v>
      </c>
      <c r="F10" s="24">
        <v>0</v>
      </c>
      <c r="G10" s="24">
        <v>48</v>
      </c>
      <c r="H10" s="24">
        <v>192</v>
      </c>
      <c r="I10" s="24">
        <v>5.71875</v>
      </c>
      <c r="J10" s="24">
        <v>178</v>
      </c>
      <c r="K10" s="24">
        <v>0</v>
      </c>
      <c r="L10" s="24">
        <v>67</v>
      </c>
      <c r="M10" s="24">
        <v>333</v>
      </c>
      <c r="N10" s="24">
        <v>5.109375</v>
      </c>
      <c r="O10" s="24">
        <v>178</v>
      </c>
      <c r="P10" s="24">
        <f>[2]!ScheLoc_ST_Small_Complete_LBBD_CutTest_summarize[[#This Row],[Column20]]*100</f>
        <v>0</v>
      </c>
      <c r="Q10" s="24">
        <v>50</v>
      </c>
      <c r="R10" s="24">
        <v>249</v>
      </c>
      <c r="S10" s="24">
        <v>12.952999999999999</v>
      </c>
    </row>
    <row r="11" spans="1:19" x14ac:dyDescent="0.4">
      <c r="A11" s="1" t="s">
        <v>13</v>
      </c>
      <c r="B11" s="3">
        <v>10</v>
      </c>
      <c r="C11" s="3">
        <v>10</v>
      </c>
      <c r="D11" s="3">
        <v>5</v>
      </c>
      <c r="E11" s="24">
        <v>153</v>
      </c>
      <c r="F11" s="24">
        <v>4.1999999999999997E-3</v>
      </c>
      <c r="G11" s="24">
        <v>24</v>
      </c>
      <c r="H11" s="24">
        <v>120</v>
      </c>
      <c r="I11" s="24">
        <v>10.171875</v>
      </c>
      <c r="J11" s="24">
        <v>153</v>
      </c>
      <c r="K11" s="24">
        <v>0</v>
      </c>
      <c r="L11" s="24">
        <v>24</v>
      </c>
      <c r="M11" s="24">
        <v>135</v>
      </c>
      <c r="N11" s="24">
        <v>9.078125</v>
      </c>
      <c r="O11" s="24">
        <v>153</v>
      </c>
      <c r="P11" s="24">
        <f>[2]!ScheLoc_ST_Small_Complete_LBBD_CutTest_summarize[[#This Row],[Column20]]*100</f>
        <v>0</v>
      </c>
      <c r="Q11" s="24">
        <v>24</v>
      </c>
      <c r="R11" s="24">
        <v>135</v>
      </c>
      <c r="S11" s="24">
        <v>15.327999999999999</v>
      </c>
    </row>
    <row r="12" spans="1:19" x14ac:dyDescent="0.4">
      <c r="A12" s="1" t="s">
        <v>14</v>
      </c>
      <c r="B12" s="3">
        <v>10</v>
      </c>
      <c r="C12" s="3">
        <v>12</v>
      </c>
      <c r="D12" s="3">
        <v>6</v>
      </c>
      <c r="E12" s="24">
        <v>160</v>
      </c>
      <c r="F12" s="24">
        <v>9.1999999999999998E-3</v>
      </c>
      <c r="G12" s="24">
        <v>12</v>
      </c>
      <c r="H12" s="24">
        <v>72</v>
      </c>
      <c r="I12" s="24">
        <v>80.03125</v>
      </c>
      <c r="J12" s="24">
        <v>160</v>
      </c>
      <c r="K12" s="24">
        <v>0.01</v>
      </c>
      <c r="L12" s="24">
        <v>15</v>
      </c>
      <c r="M12" s="24">
        <v>103</v>
      </c>
      <c r="N12" s="24">
        <v>72.84375</v>
      </c>
      <c r="O12" s="24">
        <v>160</v>
      </c>
      <c r="P12" s="24">
        <f>[2]!ScheLoc_ST_Small_Complete_LBBD_CutTest_summarize[[#This Row],[Column20]]*100</f>
        <v>0</v>
      </c>
      <c r="Q12" s="24">
        <v>15</v>
      </c>
      <c r="R12" s="24">
        <v>103</v>
      </c>
      <c r="S12" s="24">
        <v>108.422</v>
      </c>
    </row>
    <row r="13" spans="1:19" x14ac:dyDescent="0.4">
      <c r="A13" s="1" t="s">
        <v>15</v>
      </c>
      <c r="B13" s="3">
        <v>15</v>
      </c>
      <c r="C13" s="3">
        <v>4</v>
      </c>
      <c r="D13" s="3">
        <v>2</v>
      </c>
      <c r="E13" s="24">
        <v>587</v>
      </c>
      <c r="F13" s="24">
        <v>5.1999999999999998E-3</v>
      </c>
      <c r="G13" s="24">
        <v>2159</v>
      </c>
      <c r="H13" s="24">
        <v>4318</v>
      </c>
      <c r="I13" s="24">
        <v>170.234375</v>
      </c>
      <c r="J13" s="24">
        <v>587</v>
      </c>
      <c r="K13" s="24">
        <v>0</v>
      </c>
      <c r="L13" s="24">
        <v>2027</v>
      </c>
      <c r="M13" s="24">
        <v>7243</v>
      </c>
      <c r="N13" s="24">
        <v>127.046875</v>
      </c>
      <c r="O13" s="24">
        <v>587</v>
      </c>
      <c r="P13" s="24">
        <f>[2]!ScheLoc_ST_Small_Complete_LBBD_CutTest_summarize[[#This Row],[Column20]]*100</f>
        <v>0</v>
      </c>
      <c r="Q13" s="24">
        <v>2027</v>
      </c>
      <c r="R13" s="24">
        <v>7243</v>
      </c>
      <c r="S13" s="24">
        <v>289.40600000000001</v>
      </c>
    </row>
    <row r="14" spans="1:19" x14ac:dyDescent="0.4">
      <c r="A14" s="1" t="s">
        <v>16</v>
      </c>
      <c r="B14" s="3">
        <v>15</v>
      </c>
      <c r="C14" s="3">
        <v>6</v>
      </c>
      <c r="D14" s="3">
        <v>3</v>
      </c>
      <c r="E14" s="24">
        <v>394</v>
      </c>
      <c r="F14" s="24">
        <v>9.7000000000000003E-3</v>
      </c>
      <c r="G14" s="24">
        <v>804</v>
      </c>
      <c r="H14" s="24">
        <v>2412</v>
      </c>
      <c r="I14" s="24">
        <v>143.953125</v>
      </c>
      <c r="J14" s="24">
        <v>394</v>
      </c>
      <c r="K14" s="24">
        <v>8.8999999999999999E-3</v>
      </c>
      <c r="L14" s="24">
        <v>663</v>
      </c>
      <c r="M14" s="24">
        <v>3332</v>
      </c>
      <c r="N14" s="24">
        <v>206.59375</v>
      </c>
      <c r="O14" s="24">
        <v>394</v>
      </c>
      <c r="P14" s="24">
        <f>[2]!ScheLoc_ST_Small_Complete_LBBD_CutTest_summarize[[#This Row],[Column20]]*100</f>
        <v>0</v>
      </c>
      <c r="Q14" s="24">
        <v>663</v>
      </c>
      <c r="R14" s="24">
        <v>3332</v>
      </c>
      <c r="S14" s="24">
        <v>330.26600000000002</v>
      </c>
    </row>
    <row r="15" spans="1:19" x14ac:dyDescent="0.4">
      <c r="A15" s="1" t="s">
        <v>17</v>
      </c>
      <c r="B15" s="3">
        <v>15</v>
      </c>
      <c r="C15" s="3">
        <v>8</v>
      </c>
      <c r="D15" s="3">
        <v>4</v>
      </c>
      <c r="E15" s="24">
        <v>297</v>
      </c>
      <c r="F15" s="24">
        <v>9.7999999999999997E-3</v>
      </c>
      <c r="G15" s="24">
        <v>254</v>
      </c>
      <c r="H15" s="24">
        <v>1016</v>
      </c>
      <c r="I15" s="24">
        <v>362.078125</v>
      </c>
      <c r="J15" s="24">
        <v>297</v>
      </c>
      <c r="K15" s="24">
        <v>9.9000000000000008E-3</v>
      </c>
      <c r="L15" s="24">
        <v>201</v>
      </c>
      <c r="M15" s="24">
        <v>1187</v>
      </c>
      <c r="N15" s="24">
        <v>652.9375</v>
      </c>
      <c r="O15" s="24">
        <v>297</v>
      </c>
      <c r="P15" s="24">
        <f>[2]!ScheLoc_ST_Small_Complete_LBBD_CutTest_summarize[[#This Row],[Column20]]*100</f>
        <v>0</v>
      </c>
      <c r="Q15" s="24">
        <v>201</v>
      </c>
      <c r="R15" s="24">
        <v>1187</v>
      </c>
      <c r="S15" s="24">
        <v>819.23400000000004</v>
      </c>
    </row>
    <row r="16" spans="1:19" x14ac:dyDescent="0.4">
      <c r="A16" s="1" t="s">
        <v>18</v>
      </c>
      <c r="B16" s="3">
        <v>15</v>
      </c>
      <c r="C16" s="3">
        <v>10</v>
      </c>
      <c r="D16" s="3">
        <v>5</v>
      </c>
      <c r="E16" s="24">
        <v>210</v>
      </c>
      <c r="F16" s="24">
        <v>9.7000000000000003E-3</v>
      </c>
      <c r="G16" s="24">
        <v>185</v>
      </c>
      <c r="H16" s="24">
        <v>925</v>
      </c>
      <c r="I16" s="24">
        <v>766.1875</v>
      </c>
      <c r="J16" s="24">
        <v>210</v>
      </c>
      <c r="K16" s="24">
        <v>9.7999999999999997E-3</v>
      </c>
      <c r="L16" s="24">
        <v>212</v>
      </c>
      <c r="M16" s="24">
        <v>1434</v>
      </c>
      <c r="N16" s="24">
        <v>1162.765625</v>
      </c>
      <c r="O16" s="24">
        <v>210</v>
      </c>
      <c r="P16" s="24">
        <f>[2]!ScheLoc_ST_Small_Complete_LBBD_CutTest_summarize[[#This Row],[Column20]]*100</f>
        <v>0</v>
      </c>
      <c r="Q16" s="24">
        <v>273</v>
      </c>
      <c r="R16" s="24">
        <v>1830</v>
      </c>
      <c r="S16" s="24">
        <v>1773.703</v>
      </c>
    </row>
    <row r="17" spans="1:19" x14ac:dyDescent="0.4">
      <c r="A17" s="1" t="s">
        <v>19</v>
      </c>
      <c r="B17" s="3">
        <v>15</v>
      </c>
      <c r="C17" s="3">
        <v>12</v>
      </c>
      <c r="D17" s="3">
        <v>6</v>
      </c>
      <c r="E17" s="24">
        <v>180</v>
      </c>
      <c r="F17" s="24">
        <v>9.7000000000000003E-3</v>
      </c>
      <c r="G17" s="24">
        <v>58</v>
      </c>
      <c r="H17" s="24">
        <v>348</v>
      </c>
      <c r="I17" s="24">
        <v>2062.171875</v>
      </c>
      <c r="J17" s="24">
        <v>180</v>
      </c>
      <c r="K17" s="24">
        <v>0.01</v>
      </c>
      <c r="L17" s="24">
        <v>86</v>
      </c>
      <c r="M17" s="24">
        <v>645</v>
      </c>
      <c r="N17" s="24">
        <v>2685.765625</v>
      </c>
      <c r="O17" s="24">
        <v>180</v>
      </c>
      <c r="P17" s="24">
        <f>[2]!ScheLoc_ST_Small_Complete_LBBD_CutTest_summarize[[#This Row],[Column20]]*100</f>
        <v>0</v>
      </c>
      <c r="Q17" s="24">
        <v>55</v>
      </c>
      <c r="R17" s="24">
        <v>417</v>
      </c>
      <c r="S17" s="24">
        <v>2284.1880000000001</v>
      </c>
    </row>
    <row r="18" spans="1:19" x14ac:dyDescent="0.4">
      <c r="A18" s="1" t="s">
        <v>20</v>
      </c>
      <c r="B18" s="3">
        <v>20</v>
      </c>
      <c r="C18" s="3">
        <v>4</v>
      </c>
      <c r="D18" s="3">
        <v>2</v>
      </c>
      <c r="E18" s="24">
        <v>718</v>
      </c>
      <c r="F18" s="24">
        <v>2.0891000000000002</v>
      </c>
      <c r="G18" s="24">
        <v>1153</v>
      </c>
      <c r="H18" s="24">
        <v>2306</v>
      </c>
      <c r="I18" s="24">
        <v>3600</v>
      </c>
      <c r="J18" s="24">
        <v>717</v>
      </c>
      <c r="K18" s="24">
        <v>1.9525999999999999</v>
      </c>
      <c r="L18" s="24">
        <v>1200</v>
      </c>
      <c r="M18" s="24">
        <v>3954</v>
      </c>
      <c r="N18" s="24">
        <v>3600</v>
      </c>
      <c r="O18" s="24">
        <v>715</v>
      </c>
      <c r="P18" s="24">
        <v>1.7</v>
      </c>
      <c r="Q18" s="24">
        <v>370</v>
      </c>
      <c r="R18" s="24">
        <v>1236</v>
      </c>
      <c r="S18" s="24">
        <v>3600</v>
      </c>
    </row>
    <row r="19" spans="1:19" x14ac:dyDescent="0.4">
      <c r="A19" s="1" t="s">
        <v>21</v>
      </c>
      <c r="B19" s="3">
        <v>20</v>
      </c>
      <c r="C19" s="3">
        <v>6</v>
      </c>
      <c r="D19" s="3">
        <v>3</v>
      </c>
      <c r="E19" s="24">
        <v>440</v>
      </c>
      <c r="F19" s="24">
        <v>2.3484799999999999</v>
      </c>
      <c r="G19" s="24">
        <v>11627</v>
      </c>
      <c r="H19" s="24">
        <v>34881</v>
      </c>
      <c r="I19" s="24">
        <v>3600</v>
      </c>
      <c r="J19" s="24">
        <v>441</v>
      </c>
      <c r="K19" s="24">
        <v>2.8450199999999999</v>
      </c>
      <c r="L19" s="24">
        <v>9845</v>
      </c>
      <c r="M19" s="24">
        <v>50897</v>
      </c>
      <c r="N19" s="24">
        <v>3600</v>
      </c>
      <c r="O19" s="24">
        <v>440</v>
      </c>
      <c r="P19" s="24">
        <v>2.5807500000000001</v>
      </c>
      <c r="Q19" s="24">
        <v>6857</v>
      </c>
      <c r="R19" s="24">
        <v>35096</v>
      </c>
      <c r="S19" s="24">
        <v>3600</v>
      </c>
    </row>
    <row r="20" spans="1:19" x14ac:dyDescent="0.4">
      <c r="A20" s="1" t="s">
        <v>22</v>
      </c>
      <c r="B20" s="3">
        <v>20</v>
      </c>
      <c r="C20" s="3">
        <v>8</v>
      </c>
      <c r="D20" s="3">
        <v>4</v>
      </c>
      <c r="E20" s="24">
        <v>392</v>
      </c>
      <c r="F20" s="24">
        <v>2.4235000000000002</v>
      </c>
      <c r="G20" s="24">
        <v>1909</v>
      </c>
      <c r="H20" s="24">
        <v>7636</v>
      </c>
      <c r="I20" s="24">
        <v>3600</v>
      </c>
      <c r="J20" s="24">
        <v>392</v>
      </c>
      <c r="K20" s="24">
        <v>2.4872000000000001</v>
      </c>
      <c r="L20" s="24">
        <v>2154</v>
      </c>
      <c r="M20" s="24">
        <v>13913</v>
      </c>
      <c r="N20" s="24">
        <v>3600</v>
      </c>
      <c r="O20" s="24">
        <v>391</v>
      </c>
      <c r="P20" s="24">
        <v>2.1739000000000002</v>
      </c>
      <c r="Q20" s="24">
        <v>1820</v>
      </c>
      <c r="R20" s="24">
        <v>11899</v>
      </c>
      <c r="S20" s="24">
        <v>3600</v>
      </c>
    </row>
    <row r="21" spans="1:19" x14ac:dyDescent="0.4">
      <c r="A21" s="1" t="s">
        <v>23</v>
      </c>
      <c r="B21" s="3">
        <v>20</v>
      </c>
      <c r="C21" s="3">
        <v>10</v>
      </c>
      <c r="D21" s="3">
        <v>5</v>
      </c>
      <c r="E21" s="24">
        <v>282</v>
      </c>
      <c r="F21" s="24">
        <v>1.4894000000000001</v>
      </c>
      <c r="G21" s="24">
        <v>907</v>
      </c>
      <c r="H21" s="24">
        <v>4535</v>
      </c>
      <c r="I21" s="24">
        <v>3600</v>
      </c>
      <c r="J21" s="24">
        <v>284</v>
      </c>
      <c r="K21" s="24">
        <v>3.0985999999999998</v>
      </c>
      <c r="L21" s="24">
        <v>1174</v>
      </c>
      <c r="M21" s="24">
        <v>8690</v>
      </c>
      <c r="N21" s="24">
        <v>3600</v>
      </c>
      <c r="O21" s="24">
        <v>284</v>
      </c>
      <c r="P21" s="24">
        <v>2.9</v>
      </c>
      <c r="Q21" s="24">
        <v>720</v>
      </c>
      <c r="R21" s="24">
        <v>5359</v>
      </c>
      <c r="S21" s="24">
        <v>3600</v>
      </c>
    </row>
    <row r="22" spans="1:19" x14ac:dyDescent="0.4">
      <c r="A22" s="1" t="s">
        <v>24</v>
      </c>
      <c r="B22" s="3">
        <v>20</v>
      </c>
      <c r="C22" s="3">
        <v>12</v>
      </c>
      <c r="D22" s="3">
        <v>6</v>
      </c>
      <c r="E22" s="24">
        <v>233</v>
      </c>
      <c r="F22" s="24">
        <v>3.5764999999999998</v>
      </c>
      <c r="G22" s="24">
        <v>455</v>
      </c>
      <c r="H22" s="24">
        <v>2730</v>
      </c>
      <c r="I22" s="24">
        <v>3600</v>
      </c>
      <c r="J22" s="24">
        <v>235</v>
      </c>
      <c r="K22" s="24">
        <v>4.5389999999999997</v>
      </c>
      <c r="L22" s="24">
        <v>516</v>
      </c>
      <c r="M22" s="24">
        <v>4234</v>
      </c>
      <c r="N22" s="24">
        <v>3600</v>
      </c>
      <c r="O22" s="24">
        <v>233</v>
      </c>
      <c r="P22" s="24">
        <v>3.3</v>
      </c>
      <c r="Q22" s="24">
        <v>387</v>
      </c>
      <c r="R22" s="24">
        <v>3208</v>
      </c>
      <c r="S22" s="24">
        <v>3600</v>
      </c>
    </row>
    <row r="23" spans="1:19" x14ac:dyDescent="0.4">
      <c r="A23" s="1" t="s">
        <v>25</v>
      </c>
      <c r="B23" s="3">
        <v>25</v>
      </c>
      <c r="C23" s="3">
        <v>4</v>
      </c>
      <c r="D23" s="3">
        <v>2</v>
      </c>
      <c r="E23" s="24">
        <v>871</v>
      </c>
      <c r="F23" s="24">
        <v>1.83697</v>
      </c>
      <c r="G23" s="24">
        <v>244</v>
      </c>
      <c r="H23" s="24">
        <v>488</v>
      </c>
      <c r="I23" s="24">
        <v>3600</v>
      </c>
      <c r="J23" s="24">
        <v>873</v>
      </c>
      <c r="K23" s="24">
        <v>2.0618599999999998</v>
      </c>
      <c r="L23" s="24">
        <v>77</v>
      </c>
      <c r="M23" s="24">
        <v>246</v>
      </c>
      <c r="N23" s="24">
        <v>3600</v>
      </c>
      <c r="O23" s="24">
        <v>873</v>
      </c>
      <c r="P23" s="24">
        <v>2.0618599999999998</v>
      </c>
      <c r="Q23" s="24">
        <v>78</v>
      </c>
      <c r="R23" s="24">
        <v>249</v>
      </c>
      <c r="S23" s="24">
        <v>3600</v>
      </c>
    </row>
    <row r="24" spans="1:19" x14ac:dyDescent="0.4">
      <c r="A24" s="1" t="s">
        <v>26</v>
      </c>
      <c r="B24" s="3">
        <v>25</v>
      </c>
      <c r="C24" s="3">
        <v>6</v>
      </c>
      <c r="D24" s="3">
        <v>3</v>
      </c>
      <c r="E24" s="24">
        <v>534</v>
      </c>
      <c r="F24" s="24">
        <v>3.1835</v>
      </c>
      <c r="G24" s="24">
        <v>3068</v>
      </c>
      <c r="H24" s="24">
        <v>9204</v>
      </c>
      <c r="I24" s="24">
        <v>3600</v>
      </c>
      <c r="J24" s="24">
        <v>534</v>
      </c>
      <c r="K24" s="24">
        <v>3.1835</v>
      </c>
      <c r="L24" s="24">
        <v>2236</v>
      </c>
      <c r="M24" s="24">
        <v>11207</v>
      </c>
      <c r="N24" s="24">
        <v>3600</v>
      </c>
      <c r="O24" s="24">
        <v>534</v>
      </c>
      <c r="P24" s="24">
        <v>3.1835</v>
      </c>
      <c r="Q24" s="24">
        <v>530</v>
      </c>
      <c r="R24" s="24">
        <v>2490</v>
      </c>
      <c r="S24" s="24">
        <v>3600</v>
      </c>
    </row>
    <row r="25" spans="1:19" x14ac:dyDescent="0.4">
      <c r="A25" s="1" t="s">
        <v>27</v>
      </c>
      <c r="B25" s="3">
        <v>25</v>
      </c>
      <c r="C25" s="3">
        <v>8</v>
      </c>
      <c r="D25" s="3">
        <v>4</v>
      </c>
      <c r="E25" s="24">
        <v>435</v>
      </c>
      <c r="F25" s="24">
        <v>3.3332999999999999</v>
      </c>
      <c r="G25" s="24">
        <v>11715</v>
      </c>
      <c r="H25" s="24">
        <v>46860</v>
      </c>
      <c r="I25" s="24">
        <v>3600</v>
      </c>
      <c r="J25" s="24">
        <v>434</v>
      </c>
      <c r="K25" s="24">
        <v>3.1105999999999998</v>
      </c>
      <c r="L25" s="24">
        <v>10852</v>
      </c>
      <c r="M25" s="24">
        <v>76966</v>
      </c>
      <c r="N25" s="24">
        <v>3600</v>
      </c>
      <c r="O25" s="24">
        <v>432</v>
      </c>
      <c r="P25" s="24">
        <v>2.6806999999999999</v>
      </c>
      <c r="Q25" s="24">
        <v>8200</v>
      </c>
      <c r="R25" s="24">
        <v>57559</v>
      </c>
      <c r="S25" s="24">
        <v>3600</v>
      </c>
    </row>
    <row r="26" spans="1:19" x14ac:dyDescent="0.4">
      <c r="A26" s="1" t="s">
        <v>28</v>
      </c>
      <c r="B26" s="3">
        <v>25</v>
      </c>
      <c r="C26" s="3">
        <v>10</v>
      </c>
      <c r="D26" s="3">
        <v>5</v>
      </c>
      <c r="E26" s="24">
        <v>364</v>
      </c>
      <c r="F26" s="24">
        <v>4.1440599999999996</v>
      </c>
      <c r="G26" s="24">
        <v>3528</v>
      </c>
      <c r="H26" s="24">
        <v>17640</v>
      </c>
      <c r="I26" s="24">
        <v>3600</v>
      </c>
      <c r="J26" s="24">
        <v>360</v>
      </c>
      <c r="K26" s="24">
        <v>3.0384600000000002</v>
      </c>
      <c r="L26" s="24">
        <v>2398</v>
      </c>
      <c r="M26" s="24">
        <v>20186</v>
      </c>
      <c r="N26" s="24">
        <v>3600</v>
      </c>
      <c r="O26" s="24">
        <v>360</v>
      </c>
      <c r="P26" s="24">
        <v>3.0384600000000002</v>
      </c>
      <c r="Q26" s="24">
        <v>2390</v>
      </c>
      <c r="R26" s="24">
        <v>20101</v>
      </c>
      <c r="S26" s="24">
        <v>3600</v>
      </c>
    </row>
    <row r="27" spans="1:19" x14ac:dyDescent="0.4">
      <c r="A27" s="1" t="s">
        <v>29</v>
      </c>
      <c r="B27" s="3">
        <v>25</v>
      </c>
      <c r="C27" s="3">
        <v>12</v>
      </c>
      <c r="D27" s="3">
        <v>6</v>
      </c>
      <c r="E27" s="24">
        <v>303</v>
      </c>
      <c r="F27" s="24">
        <v>4.1704999999999997</v>
      </c>
      <c r="G27" s="24">
        <v>1411</v>
      </c>
      <c r="H27" s="24">
        <v>8466</v>
      </c>
      <c r="I27" s="24">
        <v>3600</v>
      </c>
      <c r="J27" s="24">
        <v>303</v>
      </c>
      <c r="K27" s="24">
        <v>4.1402000000000001</v>
      </c>
      <c r="L27" s="24">
        <v>974</v>
      </c>
      <c r="M27" s="24">
        <v>8983</v>
      </c>
      <c r="N27" s="24">
        <v>3600</v>
      </c>
      <c r="O27" s="24">
        <v>303</v>
      </c>
      <c r="P27" s="24">
        <v>4.0644</v>
      </c>
      <c r="Q27" s="24">
        <v>1684</v>
      </c>
      <c r="R27" s="24">
        <v>15158</v>
      </c>
      <c r="S27" s="24">
        <v>3600</v>
      </c>
    </row>
  </sheetData>
  <mergeCells count="6">
    <mergeCell ref="E1:I1"/>
    <mergeCell ref="J1:N1"/>
    <mergeCell ref="O1:S1"/>
    <mergeCell ref="B1:B2"/>
    <mergeCell ref="C1:C2"/>
    <mergeCell ref="D1:D2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37"/>
  <sheetViews>
    <sheetView workbookViewId="0">
      <selection activeCell="K31" sqref="K31"/>
    </sheetView>
  </sheetViews>
  <sheetFormatPr defaultColWidth="9" defaultRowHeight="14.35" x14ac:dyDescent="0.4"/>
  <cols>
    <col min="2" max="2" width="13.234375" customWidth="1"/>
  </cols>
  <sheetData>
    <row r="2" spans="1:3" x14ac:dyDescent="0.4">
      <c r="A2" s="20" t="s">
        <v>5</v>
      </c>
      <c r="B2" s="20" t="s">
        <v>46</v>
      </c>
      <c r="C2" s="19" t="s">
        <v>47</v>
      </c>
    </row>
    <row r="3" spans="1:3" x14ac:dyDescent="0.4">
      <c r="B3" s="19">
        <v>1</v>
      </c>
      <c r="C3" s="19">
        <v>169</v>
      </c>
    </row>
    <row r="4" spans="1:3" x14ac:dyDescent="0.4">
      <c r="B4" s="19">
        <v>6</v>
      </c>
      <c r="C4" s="19">
        <v>169</v>
      </c>
    </row>
    <row r="5" spans="1:3" x14ac:dyDescent="0.4">
      <c r="B5" s="19"/>
      <c r="C5" s="19"/>
    </row>
    <row r="9" spans="1:3" x14ac:dyDescent="0.4">
      <c r="A9" s="20" t="s">
        <v>10</v>
      </c>
      <c r="B9" s="20" t="s">
        <v>46</v>
      </c>
      <c r="C9" s="19" t="s">
        <v>47</v>
      </c>
    </row>
    <row r="10" spans="1:3" x14ac:dyDescent="0.4">
      <c r="B10" s="19">
        <v>1</v>
      </c>
      <c r="C10" s="19">
        <v>369</v>
      </c>
    </row>
    <row r="11" spans="1:3" x14ac:dyDescent="0.4">
      <c r="B11" s="19">
        <v>3</v>
      </c>
      <c r="C11" s="19">
        <v>354</v>
      </c>
    </row>
    <row r="12" spans="1:3" x14ac:dyDescent="0.4">
      <c r="B12" s="19">
        <v>64</v>
      </c>
      <c r="C12" s="19">
        <v>353</v>
      </c>
    </row>
    <row r="13" spans="1:3" x14ac:dyDescent="0.4">
      <c r="B13" s="19">
        <v>68</v>
      </c>
      <c r="C13" s="19">
        <v>350</v>
      </c>
    </row>
    <row r="14" spans="1:3" x14ac:dyDescent="0.4">
      <c r="B14" s="19">
        <v>120</v>
      </c>
      <c r="C14" s="19">
        <v>350</v>
      </c>
    </row>
    <row r="15" spans="1:3" x14ac:dyDescent="0.4">
      <c r="B15" s="19"/>
      <c r="C15" s="19"/>
    </row>
    <row r="16" spans="1:3" x14ac:dyDescent="0.4">
      <c r="B16" s="19"/>
      <c r="C16" s="19"/>
    </row>
    <row r="19" spans="1:3" x14ac:dyDescent="0.4">
      <c r="A19" s="20" t="s">
        <v>15</v>
      </c>
      <c r="B19" s="20" t="s">
        <v>46</v>
      </c>
      <c r="C19" s="19" t="s">
        <v>47</v>
      </c>
    </row>
    <row r="20" spans="1:3" x14ac:dyDescent="0.4">
      <c r="B20" s="19">
        <v>1</v>
      </c>
      <c r="C20" s="19">
        <v>617</v>
      </c>
    </row>
    <row r="21" spans="1:3" x14ac:dyDescent="0.4">
      <c r="B21" s="19">
        <v>6</v>
      </c>
      <c r="C21" s="19">
        <v>599</v>
      </c>
    </row>
    <row r="22" spans="1:3" x14ac:dyDescent="0.4">
      <c r="B22" s="19">
        <v>8</v>
      </c>
      <c r="C22" s="19">
        <v>594</v>
      </c>
    </row>
    <row r="23" spans="1:3" x14ac:dyDescent="0.4">
      <c r="B23" s="19">
        <v>11</v>
      </c>
      <c r="C23" s="19">
        <v>593</v>
      </c>
    </row>
    <row r="24" spans="1:3" x14ac:dyDescent="0.4">
      <c r="B24" s="19">
        <v>97</v>
      </c>
      <c r="C24" s="19">
        <v>589</v>
      </c>
    </row>
    <row r="25" spans="1:3" x14ac:dyDescent="0.4">
      <c r="B25" s="19">
        <v>956</v>
      </c>
      <c r="C25" s="19">
        <v>587</v>
      </c>
    </row>
    <row r="26" spans="1:3" x14ac:dyDescent="0.4">
      <c r="B26" s="19">
        <v>1916</v>
      </c>
      <c r="C26" s="19">
        <v>587</v>
      </c>
    </row>
    <row r="30" spans="1:3" x14ac:dyDescent="0.4">
      <c r="A30" s="20" t="s">
        <v>20</v>
      </c>
      <c r="B30" s="20" t="s">
        <v>46</v>
      </c>
      <c r="C30" s="19" t="s">
        <v>47</v>
      </c>
    </row>
    <row r="31" spans="1:3" x14ac:dyDescent="0.4">
      <c r="B31">
        <v>1</v>
      </c>
      <c r="C31">
        <v>729</v>
      </c>
    </row>
    <row r="32" spans="1:3" x14ac:dyDescent="0.4">
      <c r="B32">
        <v>3</v>
      </c>
      <c r="C32">
        <v>725</v>
      </c>
    </row>
    <row r="33" spans="2:3" x14ac:dyDescent="0.4">
      <c r="B33">
        <v>9</v>
      </c>
      <c r="C33">
        <v>723</v>
      </c>
    </row>
    <row r="34" spans="2:3" x14ac:dyDescent="0.4">
      <c r="B34">
        <v>26</v>
      </c>
      <c r="C34">
        <v>722</v>
      </c>
    </row>
    <row r="35" spans="2:3" x14ac:dyDescent="0.4">
      <c r="B35">
        <v>77</v>
      </c>
      <c r="C35">
        <v>720</v>
      </c>
    </row>
    <row r="36" spans="2:3" x14ac:dyDescent="0.4">
      <c r="B36">
        <v>98</v>
      </c>
      <c r="C36">
        <v>718</v>
      </c>
    </row>
    <row r="37" spans="2:3" x14ac:dyDescent="0.4">
      <c r="B37">
        <v>608</v>
      </c>
      <c r="C37">
        <v>718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2"/>
  <sheetViews>
    <sheetView topLeftCell="A31" zoomScale="70" zoomScaleNormal="70" workbookViewId="0">
      <selection activeCell="H2" sqref="H2"/>
    </sheetView>
  </sheetViews>
  <sheetFormatPr defaultColWidth="9" defaultRowHeight="14.35" x14ac:dyDescent="0.4"/>
  <sheetData>
    <row r="1" spans="1:12" ht="38.35" customHeight="1" x14ac:dyDescent="0.4">
      <c r="E1" s="43" t="s">
        <v>48</v>
      </c>
      <c r="F1" s="43"/>
      <c r="G1" s="43"/>
      <c r="H1" s="43" t="s">
        <v>49</v>
      </c>
      <c r="I1" s="43"/>
      <c r="J1" s="43"/>
      <c r="K1" s="31"/>
      <c r="L1" s="31"/>
    </row>
    <row r="2" spans="1:12" x14ac:dyDescent="0.4">
      <c r="B2" t="s">
        <v>0</v>
      </c>
      <c r="C2" t="s">
        <v>1</v>
      </c>
      <c r="D2" t="s">
        <v>2</v>
      </c>
      <c r="E2" s="27" t="s">
        <v>96</v>
      </c>
      <c r="F2" t="s">
        <v>50</v>
      </c>
      <c r="G2" t="s">
        <v>4</v>
      </c>
      <c r="H2" s="32" t="s">
        <v>96</v>
      </c>
      <c r="I2" s="19" t="s">
        <v>50</v>
      </c>
      <c r="J2" s="19" t="s">
        <v>4</v>
      </c>
    </row>
    <row r="3" spans="1:12" x14ac:dyDescent="0.4">
      <c r="A3" t="s">
        <v>5</v>
      </c>
      <c r="B3">
        <v>10</v>
      </c>
      <c r="C3">
        <v>5</v>
      </c>
      <c r="D3">
        <v>2</v>
      </c>
      <c r="E3">
        <v>27</v>
      </c>
      <c r="F3">
        <v>0</v>
      </c>
      <c r="G3">
        <v>4.6875E-2</v>
      </c>
      <c r="H3" s="18">
        <v>27</v>
      </c>
      <c r="I3" s="19">
        <v>0</v>
      </c>
      <c r="J3" s="19">
        <v>4.6875E-2</v>
      </c>
    </row>
    <row r="4" spans="1:12" x14ac:dyDescent="0.4">
      <c r="A4" t="s">
        <v>6</v>
      </c>
      <c r="B4">
        <v>2</v>
      </c>
      <c r="C4">
        <v>2</v>
      </c>
      <c r="D4">
        <v>1</v>
      </c>
      <c r="E4">
        <v>24</v>
      </c>
      <c r="F4">
        <v>0</v>
      </c>
      <c r="G4">
        <v>1.5625E-2</v>
      </c>
      <c r="H4" s="18">
        <v>24</v>
      </c>
      <c r="I4" s="19">
        <v>0</v>
      </c>
      <c r="J4" s="19">
        <v>1.5625E-2</v>
      </c>
    </row>
    <row r="5" spans="1:12" x14ac:dyDescent="0.4">
      <c r="A5" t="s">
        <v>7</v>
      </c>
      <c r="B5">
        <v>9</v>
      </c>
      <c r="C5">
        <v>3</v>
      </c>
      <c r="D5">
        <v>1</v>
      </c>
      <c r="E5">
        <v>29</v>
      </c>
      <c r="F5">
        <v>0</v>
      </c>
      <c r="G5">
        <v>0</v>
      </c>
      <c r="H5" s="18">
        <v>29</v>
      </c>
      <c r="I5" s="19">
        <v>0</v>
      </c>
      <c r="J5" s="19">
        <v>0</v>
      </c>
    </row>
    <row r="6" spans="1:12" x14ac:dyDescent="0.4">
      <c r="A6" t="s">
        <v>8</v>
      </c>
      <c r="B6">
        <v>2</v>
      </c>
      <c r="C6">
        <v>2</v>
      </c>
      <c r="D6">
        <v>1</v>
      </c>
      <c r="E6">
        <v>12</v>
      </c>
      <c r="F6">
        <v>0</v>
      </c>
      <c r="G6">
        <v>0</v>
      </c>
      <c r="H6" s="18">
        <v>12</v>
      </c>
      <c r="I6" s="19">
        <v>0</v>
      </c>
      <c r="J6" s="19">
        <v>0</v>
      </c>
    </row>
    <row r="7" spans="1:12" x14ac:dyDescent="0.4">
      <c r="A7" t="s">
        <v>9</v>
      </c>
      <c r="B7">
        <v>8</v>
      </c>
      <c r="C7">
        <v>2</v>
      </c>
      <c r="D7">
        <v>1</v>
      </c>
      <c r="E7">
        <v>36</v>
      </c>
      <c r="F7">
        <v>0</v>
      </c>
      <c r="G7">
        <v>0</v>
      </c>
      <c r="H7" s="18">
        <v>36</v>
      </c>
      <c r="I7" s="19">
        <v>0</v>
      </c>
      <c r="J7" s="19">
        <v>1.5625E-2</v>
      </c>
    </row>
    <row r="8" spans="1:12" x14ac:dyDescent="0.4">
      <c r="A8" t="s">
        <v>51</v>
      </c>
      <c r="B8">
        <v>3</v>
      </c>
      <c r="C8">
        <v>4</v>
      </c>
      <c r="D8">
        <v>3</v>
      </c>
      <c r="E8">
        <v>8</v>
      </c>
      <c r="F8">
        <v>0</v>
      </c>
      <c r="G8">
        <v>1.5625E-2</v>
      </c>
      <c r="H8" s="18">
        <v>8</v>
      </c>
      <c r="I8" s="19">
        <v>0</v>
      </c>
      <c r="J8" s="19">
        <v>3.125E-2</v>
      </c>
    </row>
    <row r="9" spans="1:12" x14ac:dyDescent="0.4">
      <c r="A9" t="s">
        <v>52</v>
      </c>
      <c r="B9">
        <v>5</v>
      </c>
      <c r="C9">
        <v>2</v>
      </c>
      <c r="D9">
        <v>1</v>
      </c>
      <c r="E9">
        <v>24</v>
      </c>
      <c r="F9">
        <v>0</v>
      </c>
      <c r="G9">
        <v>0</v>
      </c>
      <c r="H9" s="18">
        <v>24</v>
      </c>
      <c r="I9" s="19">
        <v>0</v>
      </c>
      <c r="J9" s="19">
        <v>0</v>
      </c>
    </row>
    <row r="10" spans="1:12" x14ac:dyDescent="0.4">
      <c r="A10" t="s">
        <v>53</v>
      </c>
      <c r="B10">
        <v>4</v>
      </c>
      <c r="C10">
        <v>4</v>
      </c>
      <c r="D10">
        <v>2</v>
      </c>
      <c r="E10">
        <v>18</v>
      </c>
      <c r="F10">
        <v>0</v>
      </c>
      <c r="G10">
        <v>1.5625E-2</v>
      </c>
      <c r="H10" s="18">
        <v>18</v>
      </c>
      <c r="I10" s="19">
        <v>0</v>
      </c>
      <c r="J10" s="19">
        <v>1.5625E-2</v>
      </c>
    </row>
    <row r="11" spans="1:12" x14ac:dyDescent="0.4">
      <c r="A11" t="s">
        <v>54</v>
      </c>
      <c r="B11">
        <v>9</v>
      </c>
      <c r="C11">
        <v>5</v>
      </c>
      <c r="D11">
        <v>2</v>
      </c>
      <c r="E11">
        <v>28</v>
      </c>
      <c r="F11">
        <v>0</v>
      </c>
      <c r="G11">
        <v>7.8125E-2</v>
      </c>
      <c r="H11" s="18">
        <v>28</v>
      </c>
      <c r="I11" s="19">
        <v>0</v>
      </c>
      <c r="J11" s="19">
        <v>4.6875E-2</v>
      </c>
    </row>
    <row r="12" spans="1:12" x14ac:dyDescent="0.4">
      <c r="A12" t="s">
        <v>55</v>
      </c>
      <c r="B12">
        <v>2</v>
      </c>
      <c r="C12">
        <v>3</v>
      </c>
      <c r="D12">
        <v>1</v>
      </c>
      <c r="E12">
        <v>23</v>
      </c>
      <c r="F12">
        <v>0</v>
      </c>
      <c r="G12">
        <v>1.5625E-2</v>
      </c>
      <c r="H12" s="18">
        <v>23</v>
      </c>
      <c r="I12" s="19">
        <v>0</v>
      </c>
      <c r="J12" s="19">
        <v>0</v>
      </c>
    </row>
    <row r="13" spans="1:12" x14ac:dyDescent="0.4">
      <c r="A13" t="s">
        <v>10</v>
      </c>
      <c r="B13">
        <v>10</v>
      </c>
      <c r="C13">
        <v>6</v>
      </c>
      <c r="D13">
        <v>3</v>
      </c>
      <c r="E13">
        <v>18</v>
      </c>
      <c r="F13">
        <v>0</v>
      </c>
      <c r="G13">
        <v>4.6875E-2</v>
      </c>
      <c r="H13" s="18">
        <v>18</v>
      </c>
      <c r="I13" s="19">
        <v>0</v>
      </c>
      <c r="J13" s="19">
        <v>6.25E-2</v>
      </c>
    </row>
    <row r="14" spans="1:12" x14ac:dyDescent="0.4">
      <c r="A14" t="s">
        <v>11</v>
      </c>
      <c r="B14">
        <v>2</v>
      </c>
      <c r="C14">
        <v>8</v>
      </c>
      <c r="D14">
        <v>2</v>
      </c>
      <c r="E14">
        <v>9</v>
      </c>
      <c r="F14">
        <v>0</v>
      </c>
      <c r="G14">
        <v>1.5625E-2</v>
      </c>
      <c r="H14" s="18">
        <v>9</v>
      </c>
      <c r="I14" s="19">
        <v>0</v>
      </c>
      <c r="J14" s="19">
        <v>0</v>
      </c>
    </row>
    <row r="15" spans="1:12" x14ac:dyDescent="0.4">
      <c r="A15" t="s">
        <v>12</v>
      </c>
      <c r="B15">
        <v>2</v>
      </c>
      <c r="C15">
        <v>9</v>
      </c>
      <c r="D15">
        <v>6</v>
      </c>
      <c r="E15">
        <v>10</v>
      </c>
      <c r="F15">
        <v>0</v>
      </c>
      <c r="G15">
        <v>1.5625E-2</v>
      </c>
      <c r="H15" s="18">
        <v>10</v>
      </c>
      <c r="I15" s="19">
        <v>0</v>
      </c>
      <c r="J15" s="19">
        <v>1.5625E-2</v>
      </c>
    </row>
    <row r="16" spans="1:12" x14ac:dyDescent="0.4">
      <c r="A16" t="s">
        <v>13</v>
      </c>
      <c r="B16">
        <v>7</v>
      </c>
      <c r="C16">
        <v>9</v>
      </c>
      <c r="D16">
        <v>8</v>
      </c>
      <c r="E16">
        <v>14</v>
      </c>
      <c r="F16">
        <v>0</v>
      </c>
      <c r="G16">
        <v>1.5625E-2</v>
      </c>
      <c r="H16" s="18">
        <v>14</v>
      </c>
      <c r="I16" s="19">
        <v>0</v>
      </c>
      <c r="J16" s="19">
        <v>0</v>
      </c>
    </row>
    <row r="17" spans="1:10" x14ac:dyDescent="0.4">
      <c r="A17" t="s">
        <v>14</v>
      </c>
      <c r="B17">
        <v>2</v>
      </c>
      <c r="C17">
        <v>7</v>
      </c>
      <c r="D17">
        <v>3</v>
      </c>
      <c r="E17">
        <v>8</v>
      </c>
      <c r="F17">
        <v>0</v>
      </c>
      <c r="G17">
        <v>1.5625E-2</v>
      </c>
      <c r="H17" s="18">
        <v>8</v>
      </c>
      <c r="I17" s="19">
        <v>0</v>
      </c>
      <c r="J17" s="19">
        <v>1.5625E-2</v>
      </c>
    </row>
    <row r="18" spans="1:10" x14ac:dyDescent="0.4">
      <c r="A18" t="s">
        <v>56</v>
      </c>
      <c r="B18">
        <v>9</v>
      </c>
      <c r="C18">
        <v>10</v>
      </c>
      <c r="D18">
        <v>7</v>
      </c>
      <c r="E18">
        <v>10</v>
      </c>
      <c r="F18">
        <v>0</v>
      </c>
      <c r="G18">
        <v>4.6875E-2</v>
      </c>
      <c r="H18" s="18">
        <v>10</v>
      </c>
      <c r="I18" s="19">
        <v>0</v>
      </c>
      <c r="J18" s="19">
        <v>1.5625E-2</v>
      </c>
    </row>
    <row r="19" spans="1:10" x14ac:dyDescent="0.4">
      <c r="A19" t="s">
        <v>57</v>
      </c>
      <c r="B19">
        <v>8</v>
      </c>
      <c r="C19">
        <v>9</v>
      </c>
      <c r="D19">
        <v>2</v>
      </c>
      <c r="E19">
        <v>20</v>
      </c>
      <c r="F19">
        <v>0</v>
      </c>
      <c r="G19">
        <v>9.375E-2</v>
      </c>
      <c r="H19" s="18">
        <v>20</v>
      </c>
      <c r="I19" s="19">
        <v>0</v>
      </c>
      <c r="J19" s="19">
        <v>9.375E-2</v>
      </c>
    </row>
    <row r="20" spans="1:10" x14ac:dyDescent="0.4">
      <c r="A20" t="s">
        <v>58</v>
      </c>
      <c r="B20">
        <v>4</v>
      </c>
      <c r="C20">
        <v>8</v>
      </c>
      <c r="D20">
        <v>3</v>
      </c>
      <c r="E20">
        <v>11</v>
      </c>
      <c r="F20">
        <v>0</v>
      </c>
      <c r="G20">
        <v>0</v>
      </c>
      <c r="H20" s="18">
        <v>11</v>
      </c>
      <c r="I20" s="19">
        <v>0</v>
      </c>
      <c r="J20" s="19">
        <v>0</v>
      </c>
    </row>
    <row r="21" spans="1:10" x14ac:dyDescent="0.4">
      <c r="A21" t="s">
        <v>59</v>
      </c>
      <c r="B21">
        <v>6</v>
      </c>
      <c r="C21">
        <v>5</v>
      </c>
      <c r="D21">
        <v>3</v>
      </c>
      <c r="E21">
        <v>18</v>
      </c>
      <c r="F21">
        <v>0</v>
      </c>
      <c r="G21">
        <v>1.5625E-2</v>
      </c>
      <c r="H21" s="18">
        <v>18</v>
      </c>
      <c r="I21" s="19">
        <v>0</v>
      </c>
      <c r="J21" s="19">
        <v>1.5625E-2</v>
      </c>
    </row>
    <row r="22" spans="1:10" x14ac:dyDescent="0.4">
      <c r="A22" t="s">
        <v>60</v>
      </c>
      <c r="B22">
        <v>9</v>
      </c>
      <c r="C22">
        <v>10</v>
      </c>
      <c r="D22">
        <v>8</v>
      </c>
      <c r="E22">
        <v>11</v>
      </c>
      <c r="F22">
        <v>0</v>
      </c>
      <c r="G22">
        <v>1.5625E-2</v>
      </c>
      <c r="H22" s="18">
        <v>11</v>
      </c>
      <c r="I22" s="19">
        <v>0</v>
      </c>
      <c r="J22" s="19">
        <v>1.5625E-2</v>
      </c>
    </row>
    <row r="23" spans="1:10" x14ac:dyDescent="0.4">
      <c r="A23" t="s">
        <v>15</v>
      </c>
      <c r="B23">
        <v>11</v>
      </c>
      <c r="C23">
        <v>4</v>
      </c>
      <c r="D23">
        <v>2</v>
      </c>
      <c r="E23">
        <v>29</v>
      </c>
      <c r="F23">
        <v>0</v>
      </c>
      <c r="G23">
        <v>0.171875</v>
      </c>
      <c r="H23" s="18">
        <v>29</v>
      </c>
      <c r="I23" s="19">
        <v>0</v>
      </c>
      <c r="J23" s="19">
        <v>6.25E-2</v>
      </c>
    </row>
    <row r="24" spans="1:10" x14ac:dyDescent="0.4">
      <c r="A24" t="s">
        <v>16</v>
      </c>
      <c r="B24">
        <v>14</v>
      </c>
      <c r="C24">
        <v>5</v>
      </c>
      <c r="D24">
        <v>4</v>
      </c>
      <c r="E24">
        <v>24</v>
      </c>
      <c r="F24">
        <v>0</v>
      </c>
      <c r="G24">
        <v>3.921875</v>
      </c>
      <c r="H24" s="18">
        <v>24</v>
      </c>
      <c r="I24" s="19">
        <v>0</v>
      </c>
      <c r="J24" s="19">
        <v>0.4375</v>
      </c>
    </row>
    <row r="25" spans="1:10" x14ac:dyDescent="0.4">
      <c r="A25" t="s">
        <v>17</v>
      </c>
      <c r="B25">
        <v>14</v>
      </c>
      <c r="C25">
        <v>5</v>
      </c>
      <c r="D25">
        <v>4</v>
      </c>
      <c r="E25">
        <v>18</v>
      </c>
      <c r="F25">
        <v>0</v>
      </c>
      <c r="G25">
        <v>0.296875</v>
      </c>
      <c r="H25" s="18">
        <v>17</v>
      </c>
      <c r="I25" s="19">
        <v>0</v>
      </c>
      <c r="J25" s="19">
        <v>6.25E-2</v>
      </c>
    </row>
    <row r="26" spans="1:10" x14ac:dyDescent="0.4">
      <c r="A26" t="s">
        <v>18</v>
      </c>
      <c r="B26">
        <v>10</v>
      </c>
      <c r="C26">
        <v>5</v>
      </c>
      <c r="D26">
        <v>4</v>
      </c>
      <c r="E26">
        <v>16</v>
      </c>
      <c r="F26">
        <v>0</v>
      </c>
      <c r="G26">
        <v>1.5625E-2</v>
      </c>
      <c r="H26" s="18">
        <v>16</v>
      </c>
      <c r="I26" s="19">
        <v>0</v>
      </c>
      <c r="J26" s="19">
        <v>1.5625E-2</v>
      </c>
    </row>
    <row r="27" spans="1:10" x14ac:dyDescent="0.4">
      <c r="A27" t="s">
        <v>19</v>
      </c>
      <c r="B27">
        <v>15</v>
      </c>
      <c r="C27">
        <v>4</v>
      </c>
      <c r="D27">
        <v>2</v>
      </c>
      <c r="E27">
        <v>37</v>
      </c>
      <c r="F27">
        <v>0</v>
      </c>
      <c r="G27">
        <v>9.375E-2</v>
      </c>
      <c r="H27" s="18">
        <v>37</v>
      </c>
      <c r="I27" s="19">
        <v>0</v>
      </c>
      <c r="J27" s="19">
        <v>3.125E-2</v>
      </c>
    </row>
    <row r="28" spans="1:10" x14ac:dyDescent="0.4">
      <c r="A28" t="s">
        <v>61</v>
      </c>
      <c r="B28">
        <v>16</v>
      </c>
      <c r="C28">
        <v>3</v>
      </c>
      <c r="D28">
        <v>2</v>
      </c>
      <c r="E28">
        <v>47</v>
      </c>
      <c r="F28">
        <v>0</v>
      </c>
      <c r="G28">
        <v>0.5625</v>
      </c>
      <c r="H28" s="18">
        <v>47</v>
      </c>
      <c r="I28" s="19">
        <v>0</v>
      </c>
      <c r="J28" s="19">
        <v>0.265625</v>
      </c>
    </row>
    <row r="29" spans="1:10" x14ac:dyDescent="0.4">
      <c r="A29" t="s">
        <v>62</v>
      </c>
      <c r="B29">
        <v>15</v>
      </c>
      <c r="C29">
        <v>5</v>
      </c>
      <c r="D29">
        <v>4</v>
      </c>
      <c r="E29">
        <v>25</v>
      </c>
      <c r="F29">
        <v>0</v>
      </c>
      <c r="G29">
        <v>6.640625</v>
      </c>
      <c r="H29" s="18">
        <v>25</v>
      </c>
      <c r="I29" s="19">
        <v>0</v>
      </c>
      <c r="J29" s="19">
        <v>0.171875</v>
      </c>
    </row>
    <row r="30" spans="1:10" x14ac:dyDescent="0.4">
      <c r="A30" t="s">
        <v>63</v>
      </c>
      <c r="B30">
        <v>18</v>
      </c>
      <c r="C30">
        <v>5</v>
      </c>
      <c r="D30">
        <v>3</v>
      </c>
      <c r="E30">
        <v>38</v>
      </c>
      <c r="F30">
        <v>9.2999999999999997E-5</v>
      </c>
      <c r="G30">
        <v>920.9375</v>
      </c>
      <c r="H30" s="18">
        <v>38</v>
      </c>
      <c r="I30" s="19">
        <v>0</v>
      </c>
      <c r="J30" s="19">
        <v>205.40625</v>
      </c>
    </row>
    <row r="31" spans="1:10" x14ac:dyDescent="0.4">
      <c r="A31" t="s">
        <v>64</v>
      </c>
      <c r="B31">
        <v>10</v>
      </c>
      <c r="C31">
        <v>4</v>
      </c>
      <c r="D31">
        <v>2</v>
      </c>
      <c r="E31">
        <v>25</v>
      </c>
      <c r="F31">
        <v>0</v>
      </c>
      <c r="G31">
        <v>7.8125E-2</v>
      </c>
      <c r="H31" s="18">
        <v>24</v>
      </c>
      <c r="I31" s="19">
        <v>0</v>
      </c>
      <c r="J31" s="19">
        <v>3.125E-2</v>
      </c>
    </row>
    <row r="32" spans="1:10" x14ac:dyDescent="0.4">
      <c r="A32" t="s">
        <v>65</v>
      </c>
      <c r="B32">
        <v>14</v>
      </c>
      <c r="C32">
        <v>3</v>
      </c>
      <c r="D32">
        <v>2</v>
      </c>
      <c r="E32">
        <v>28</v>
      </c>
      <c r="F32">
        <v>0</v>
      </c>
      <c r="G32">
        <v>3.125E-2</v>
      </c>
      <c r="H32" s="18">
        <v>28</v>
      </c>
      <c r="I32" s="19">
        <v>0</v>
      </c>
      <c r="J32" s="19">
        <v>3.125E-2</v>
      </c>
    </row>
    <row r="33" spans="1:10" x14ac:dyDescent="0.4">
      <c r="A33" t="s">
        <v>20</v>
      </c>
      <c r="B33">
        <v>19</v>
      </c>
      <c r="C33">
        <v>10</v>
      </c>
      <c r="D33">
        <v>7</v>
      </c>
      <c r="E33">
        <v>14</v>
      </c>
      <c r="F33">
        <v>0</v>
      </c>
      <c r="G33">
        <v>4.5625</v>
      </c>
      <c r="H33" s="18">
        <v>14</v>
      </c>
      <c r="I33" s="19">
        <v>0</v>
      </c>
      <c r="J33" s="19">
        <v>2.890625</v>
      </c>
    </row>
    <row r="34" spans="1:10" x14ac:dyDescent="0.4">
      <c r="A34" t="s">
        <v>21</v>
      </c>
      <c r="B34">
        <v>14</v>
      </c>
      <c r="C34">
        <v>6</v>
      </c>
      <c r="D34">
        <v>2</v>
      </c>
      <c r="E34">
        <v>41</v>
      </c>
      <c r="F34">
        <v>0</v>
      </c>
      <c r="G34">
        <v>0.828125</v>
      </c>
      <c r="H34" s="18">
        <v>41</v>
      </c>
      <c r="I34" s="19">
        <v>0</v>
      </c>
      <c r="J34" s="19">
        <v>1.09375</v>
      </c>
    </row>
    <row r="35" spans="1:10" x14ac:dyDescent="0.4">
      <c r="A35" t="s">
        <v>22</v>
      </c>
      <c r="B35">
        <v>20</v>
      </c>
      <c r="C35">
        <v>8</v>
      </c>
      <c r="D35">
        <v>7</v>
      </c>
      <c r="E35">
        <v>14</v>
      </c>
      <c r="F35">
        <v>0</v>
      </c>
      <c r="G35">
        <v>426.3125</v>
      </c>
      <c r="H35" s="18">
        <v>14</v>
      </c>
      <c r="I35" s="19">
        <v>0</v>
      </c>
      <c r="J35" s="19">
        <v>15.703125</v>
      </c>
    </row>
    <row r="36" spans="1:10" x14ac:dyDescent="0.4">
      <c r="A36" t="s">
        <v>23</v>
      </c>
      <c r="B36">
        <v>13</v>
      </c>
      <c r="C36">
        <v>8</v>
      </c>
      <c r="D36">
        <v>7</v>
      </c>
      <c r="E36">
        <v>13</v>
      </c>
      <c r="F36">
        <v>0</v>
      </c>
      <c r="G36">
        <v>0.109375</v>
      </c>
      <c r="H36" s="18">
        <v>13</v>
      </c>
      <c r="I36" s="19">
        <v>0</v>
      </c>
      <c r="J36" s="19">
        <v>0.15625</v>
      </c>
    </row>
    <row r="37" spans="1:10" x14ac:dyDescent="0.4">
      <c r="A37" t="s">
        <v>24</v>
      </c>
      <c r="B37">
        <v>17</v>
      </c>
      <c r="C37">
        <v>10</v>
      </c>
      <c r="D37">
        <v>9</v>
      </c>
      <c r="E37">
        <v>12</v>
      </c>
      <c r="F37">
        <v>0</v>
      </c>
      <c r="G37">
        <v>9.375E-2</v>
      </c>
      <c r="H37" s="18">
        <v>12</v>
      </c>
      <c r="I37" s="19">
        <v>0</v>
      </c>
      <c r="J37" s="19">
        <v>9.375E-2</v>
      </c>
    </row>
    <row r="38" spans="1:10" x14ac:dyDescent="0.4">
      <c r="A38" t="s">
        <v>66</v>
      </c>
      <c r="B38">
        <v>13</v>
      </c>
      <c r="C38">
        <v>9</v>
      </c>
      <c r="D38">
        <v>8</v>
      </c>
      <c r="E38">
        <v>11</v>
      </c>
      <c r="F38">
        <v>0</v>
      </c>
      <c r="G38">
        <v>3.125E-2</v>
      </c>
      <c r="H38" s="18">
        <v>11</v>
      </c>
      <c r="I38" s="19">
        <v>0</v>
      </c>
      <c r="J38" s="19">
        <v>6.25E-2</v>
      </c>
    </row>
    <row r="39" spans="1:10" x14ac:dyDescent="0.4">
      <c r="A39" t="s">
        <v>67</v>
      </c>
      <c r="B39">
        <v>18</v>
      </c>
      <c r="C39">
        <v>10</v>
      </c>
      <c r="D39">
        <v>2</v>
      </c>
      <c r="E39">
        <v>51</v>
      </c>
      <c r="F39">
        <v>0</v>
      </c>
      <c r="G39">
        <v>110.75</v>
      </c>
      <c r="H39" s="18">
        <v>51</v>
      </c>
      <c r="I39" s="19">
        <v>3.6999999999999998E-5</v>
      </c>
      <c r="J39" s="19">
        <v>116.78125</v>
      </c>
    </row>
    <row r="40" spans="1:10" x14ac:dyDescent="0.4">
      <c r="A40" t="s">
        <v>68</v>
      </c>
      <c r="B40">
        <v>15</v>
      </c>
      <c r="C40">
        <v>10</v>
      </c>
      <c r="D40">
        <v>4</v>
      </c>
      <c r="E40">
        <v>18</v>
      </c>
      <c r="F40">
        <v>9.1000000000000003E-5</v>
      </c>
      <c r="G40">
        <v>85.96875</v>
      </c>
      <c r="H40" s="18">
        <v>18</v>
      </c>
      <c r="I40" s="19">
        <v>0</v>
      </c>
      <c r="J40" s="19">
        <v>4.796875</v>
      </c>
    </row>
    <row r="41" spans="1:10" x14ac:dyDescent="0.4">
      <c r="A41" t="s">
        <v>69</v>
      </c>
      <c r="B41">
        <v>12</v>
      </c>
      <c r="C41">
        <v>5</v>
      </c>
      <c r="D41">
        <v>4</v>
      </c>
      <c r="E41">
        <v>20</v>
      </c>
      <c r="F41">
        <v>0</v>
      </c>
      <c r="G41">
        <v>0.453125</v>
      </c>
      <c r="H41" s="18">
        <v>19</v>
      </c>
      <c r="I41" s="19">
        <v>0</v>
      </c>
      <c r="J41" s="19">
        <v>0.25</v>
      </c>
    </row>
    <row r="42" spans="1:10" x14ac:dyDescent="0.4">
      <c r="A42" t="s">
        <v>70</v>
      </c>
      <c r="B42">
        <v>10</v>
      </c>
      <c r="C42">
        <v>10</v>
      </c>
      <c r="D42">
        <v>2</v>
      </c>
      <c r="E42">
        <v>26</v>
      </c>
      <c r="F42">
        <v>0</v>
      </c>
      <c r="G42">
        <v>0.625</v>
      </c>
      <c r="H42" s="18">
        <v>26</v>
      </c>
      <c r="I42" s="19">
        <v>0</v>
      </c>
      <c r="J42" s="19">
        <v>0.390625</v>
      </c>
    </row>
    <row r="43" spans="1:10" x14ac:dyDescent="0.4">
      <c r="A43" t="s">
        <v>25</v>
      </c>
      <c r="B43">
        <v>29</v>
      </c>
      <c r="C43">
        <v>5</v>
      </c>
      <c r="D43">
        <v>2</v>
      </c>
      <c r="E43">
        <v>79</v>
      </c>
      <c r="F43">
        <v>6.3290000000000004E-3</v>
      </c>
      <c r="G43">
        <v>5400.03125</v>
      </c>
      <c r="H43" s="18">
        <v>79</v>
      </c>
      <c r="I43" s="19">
        <v>6.3290000000000004E-3</v>
      </c>
      <c r="J43" s="19">
        <v>5404.875</v>
      </c>
    </row>
    <row r="44" spans="1:10" x14ac:dyDescent="0.4">
      <c r="A44" t="s">
        <v>26</v>
      </c>
      <c r="B44">
        <v>23</v>
      </c>
      <c r="C44">
        <v>9</v>
      </c>
      <c r="D44">
        <v>5</v>
      </c>
      <c r="E44">
        <v>26</v>
      </c>
      <c r="F44">
        <v>7.6920000000000001E-3</v>
      </c>
      <c r="G44">
        <v>5400.078125</v>
      </c>
      <c r="H44" s="18">
        <v>26</v>
      </c>
      <c r="I44" s="19">
        <v>7.6920000000000001E-3</v>
      </c>
      <c r="J44" s="19">
        <v>5400.84375</v>
      </c>
    </row>
    <row r="45" spans="1:10" x14ac:dyDescent="0.4">
      <c r="A45" t="s">
        <v>27</v>
      </c>
      <c r="B45">
        <v>29</v>
      </c>
      <c r="C45">
        <v>8</v>
      </c>
      <c r="D45">
        <v>5</v>
      </c>
      <c r="E45">
        <v>31</v>
      </c>
      <c r="F45">
        <v>0</v>
      </c>
      <c r="G45">
        <v>2.046875</v>
      </c>
      <c r="H45" s="18">
        <v>31</v>
      </c>
      <c r="I45" s="19">
        <v>0</v>
      </c>
      <c r="J45" s="19">
        <v>0.6875</v>
      </c>
    </row>
    <row r="46" spans="1:10" x14ac:dyDescent="0.4">
      <c r="A46" t="s">
        <v>28</v>
      </c>
      <c r="B46">
        <v>25</v>
      </c>
      <c r="C46">
        <v>8</v>
      </c>
      <c r="D46">
        <v>7</v>
      </c>
      <c r="E46">
        <v>18</v>
      </c>
      <c r="F46">
        <v>2.3810000000000001E-2</v>
      </c>
      <c r="G46">
        <v>5400.78125</v>
      </c>
      <c r="H46" s="18">
        <v>18</v>
      </c>
      <c r="I46" s="19">
        <v>2.3810000000000001E-2</v>
      </c>
      <c r="J46" s="19">
        <v>5400.84375</v>
      </c>
    </row>
    <row r="47" spans="1:10" x14ac:dyDescent="0.4">
      <c r="A47" t="s">
        <v>29</v>
      </c>
      <c r="B47">
        <v>22</v>
      </c>
      <c r="C47">
        <v>4</v>
      </c>
      <c r="D47">
        <v>3</v>
      </c>
      <c r="E47">
        <v>33</v>
      </c>
      <c r="F47">
        <v>0</v>
      </c>
      <c r="G47">
        <v>0.125</v>
      </c>
      <c r="H47" s="18">
        <v>33</v>
      </c>
      <c r="I47" s="19">
        <v>0</v>
      </c>
      <c r="J47" s="19">
        <v>3.125E-2</v>
      </c>
    </row>
    <row r="48" spans="1:10" x14ac:dyDescent="0.4">
      <c r="A48" t="s">
        <v>71</v>
      </c>
      <c r="B48">
        <v>30</v>
      </c>
      <c r="C48">
        <v>5</v>
      </c>
      <c r="D48">
        <v>4</v>
      </c>
      <c r="E48">
        <v>41</v>
      </c>
      <c r="F48">
        <v>1.8293E-2</v>
      </c>
      <c r="G48">
        <v>5415.453125</v>
      </c>
      <c r="H48" s="18">
        <v>41</v>
      </c>
      <c r="I48" s="19">
        <v>1.8293E-2</v>
      </c>
      <c r="J48" s="19">
        <v>5410.34375</v>
      </c>
    </row>
    <row r="49" spans="1:10" x14ac:dyDescent="0.4">
      <c r="A49" t="s">
        <v>72</v>
      </c>
      <c r="B49">
        <v>27</v>
      </c>
      <c r="C49">
        <v>2</v>
      </c>
      <c r="D49">
        <v>2</v>
      </c>
      <c r="E49">
        <v>76</v>
      </c>
      <c r="F49">
        <v>0</v>
      </c>
      <c r="G49">
        <v>1.5625E-2</v>
      </c>
      <c r="H49" s="18">
        <v>76</v>
      </c>
      <c r="I49" s="19">
        <v>0</v>
      </c>
      <c r="J49" s="19">
        <v>1.5625E-2</v>
      </c>
    </row>
    <row r="50" spans="1:10" x14ac:dyDescent="0.4">
      <c r="A50" t="s">
        <v>73</v>
      </c>
      <c r="B50">
        <v>23</v>
      </c>
      <c r="C50">
        <v>10</v>
      </c>
      <c r="D50">
        <v>7</v>
      </c>
      <c r="E50">
        <v>19</v>
      </c>
      <c r="F50">
        <v>1.5037999999999999E-2</v>
      </c>
      <c r="G50">
        <v>5400.6875</v>
      </c>
      <c r="H50" s="18">
        <v>19</v>
      </c>
      <c r="I50" s="19">
        <v>1.5037999999999999E-2</v>
      </c>
      <c r="J50" s="19">
        <v>5405.78125</v>
      </c>
    </row>
    <row r="51" spans="1:10" x14ac:dyDescent="0.4">
      <c r="A51" t="s">
        <v>74</v>
      </c>
      <c r="B51">
        <v>21</v>
      </c>
      <c r="C51">
        <v>5</v>
      </c>
      <c r="D51">
        <v>2</v>
      </c>
      <c r="E51">
        <v>54</v>
      </c>
      <c r="F51">
        <v>0</v>
      </c>
      <c r="G51">
        <v>39.703125</v>
      </c>
      <c r="H51" s="18">
        <v>54</v>
      </c>
      <c r="I51" s="19">
        <v>0</v>
      </c>
      <c r="J51" s="19">
        <v>72.484375</v>
      </c>
    </row>
    <row r="52" spans="1:10" x14ac:dyDescent="0.4">
      <c r="A52" t="s">
        <v>75</v>
      </c>
      <c r="B52">
        <v>28</v>
      </c>
      <c r="C52">
        <v>8</v>
      </c>
      <c r="D52">
        <v>2</v>
      </c>
      <c r="E52">
        <v>74</v>
      </c>
      <c r="F52">
        <v>6.757E-3</v>
      </c>
      <c r="G52">
        <v>5400.03125</v>
      </c>
      <c r="H52" s="18">
        <v>74</v>
      </c>
      <c r="I52" s="19">
        <v>6.757E-3</v>
      </c>
      <c r="J52" s="19">
        <v>5400.453125</v>
      </c>
    </row>
  </sheetData>
  <mergeCells count="2">
    <mergeCell ref="E1:G1"/>
    <mergeCell ref="H1:J1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3"/>
  <sheetViews>
    <sheetView tabSelected="1" zoomScale="70" zoomScaleNormal="70" workbookViewId="0">
      <selection activeCell="E109" sqref="E109"/>
    </sheetView>
  </sheetViews>
  <sheetFormatPr defaultColWidth="9" defaultRowHeight="14.35" x14ac:dyDescent="0.4"/>
  <cols>
    <col min="1" max="1" width="7.46875" style="1" customWidth="1"/>
    <col min="2" max="2" width="4.1171875" style="1" customWidth="1"/>
    <col min="3" max="3" width="3.46875" style="1" customWidth="1"/>
    <col min="4" max="4" width="4.1171875" style="1" customWidth="1"/>
    <col min="5" max="5" width="3.46875" style="1" customWidth="1"/>
    <col min="6" max="16" width="9" style="1"/>
    <col min="17" max="17" width="10.64453125" style="1" customWidth="1"/>
  </cols>
  <sheetData>
    <row r="1" spans="1:17" x14ac:dyDescent="0.4">
      <c r="A1" s="43" t="s">
        <v>76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x14ac:dyDescent="0.4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1:17" x14ac:dyDescent="0.4">
      <c r="F3" s="46" t="s">
        <v>77</v>
      </c>
      <c r="G3" s="36"/>
      <c r="H3" s="45"/>
      <c r="I3" s="46" t="s">
        <v>78</v>
      </c>
      <c r="J3" s="36"/>
      <c r="K3" s="45"/>
      <c r="L3" s="44" t="s">
        <v>79</v>
      </c>
      <c r="M3" s="36"/>
      <c r="N3" s="45"/>
      <c r="O3" s="44" t="s">
        <v>39</v>
      </c>
      <c r="P3" s="36"/>
      <c r="Q3" s="45"/>
    </row>
    <row r="4" spans="1:17" x14ac:dyDescent="0.4">
      <c r="F4" s="2" t="s">
        <v>41</v>
      </c>
      <c r="G4" s="5" t="s">
        <v>42</v>
      </c>
      <c r="H4" s="4" t="s">
        <v>45</v>
      </c>
      <c r="I4" s="2" t="s">
        <v>41</v>
      </c>
      <c r="J4" s="5" t="s">
        <v>42</v>
      </c>
      <c r="K4" s="4" t="s">
        <v>45</v>
      </c>
      <c r="L4" s="2" t="s">
        <v>41</v>
      </c>
      <c r="M4" s="5" t="s">
        <v>42</v>
      </c>
      <c r="N4" s="4" t="s">
        <v>45</v>
      </c>
      <c r="O4" s="2" t="s">
        <v>41</v>
      </c>
      <c r="P4" s="5" t="s">
        <v>42</v>
      </c>
      <c r="Q4" s="4" t="s">
        <v>45</v>
      </c>
    </row>
    <row r="5" spans="1:17" x14ac:dyDescent="0.4">
      <c r="A5" s="1" t="s">
        <v>5</v>
      </c>
      <c r="B5" s="1" t="s">
        <v>0</v>
      </c>
      <c r="C5" s="1">
        <v>5</v>
      </c>
      <c r="D5" s="1" t="s">
        <v>1</v>
      </c>
      <c r="E5" s="1">
        <v>4</v>
      </c>
      <c r="F5" s="2">
        <v>169</v>
      </c>
      <c r="G5" s="6">
        <v>0</v>
      </c>
      <c r="H5" s="7">
        <v>0.14099999999999999</v>
      </c>
      <c r="I5" s="2">
        <v>169</v>
      </c>
      <c r="J5" s="8">
        <v>0</v>
      </c>
      <c r="K5" s="9">
        <v>9.4E-2</v>
      </c>
      <c r="L5" s="2">
        <v>169</v>
      </c>
      <c r="M5" s="10">
        <v>1.6568047337273101E-2</v>
      </c>
      <c r="N5" s="9">
        <v>2.891</v>
      </c>
      <c r="O5" s="2">
        <v>169</v>
      </c>
      <c r="P5" s="8">
        <v>0</v>
      </c>
      <c r="Q5" s="9">
        <v>0.70299999999999996</v>
      </c>
    </row>
    <row r="6" spans="1:17" x14ac:dyDescent="0.4">
      <c r="A6" s="1" t="s">
        <v>6</v>
      </c>
      <c r="B6" s="1" t="s">
        <v>0</v>
      </c>
      <c r="C6" s="1">
        <v>5</v>
      </c>
      <c r="D6" s="1" t="s">
        <v>1</v>
      </c>
      <c r="E6" s="1">
        <v>6</v>
      </c>
      <c r="F6" s="2">
        <v>164</v>
      </c>
      <c r="G6" s="6">
        <v>0</v>
      </c>
      <c r="H6" s="7">
        <v>4.7E-2</v>
      </c>
      <c r="I6" s="2">
        <v>164</v>
      </c>
      <c r="J6" s="8">
        <v>0</v>
      </c>
      <c r="K6" s="9">
        <v>6.2E-2</v>
      </c>
      <c r="L6" s="2">
        <v>164</v>
      </c>
      <c r="M6" s="8">
        <v>0</v>
      </c>
      <c r="N6" s="9">
        <v>2.6720000000000002</v>
      </c>
      <c r="O6" s="2">
        <v>164</v>
      </c>
      <c r="P6" s="8">
        <v>0</v>
      </c>
      <c r="Q6" s="9">
        <v>1.0309999999999999</v>
      </c>
    </row>
    <row r="7" spans="1:17" x14ac:dyDescent="0.4">
      <c r="A7" s="1" t="s">
        <v>7</v>
      </c>
      <c r="B7" s="1" t="s">
        <v>0</v>
      </c>
      <c r="C7" s="1">
        <v>5</v>
      </c>
      <c r="D7" s="1" t="s">
        <v>1</v>
      </c>
      <c r="E7" s="1">
        <v>8</v>
      </c>
      <c r="F7" s="2">
        <v>122</v>
      </c>
      <c r="G7" s="6">
        <v>0</v>
      </c>
      <c r="H7" s="7">
        <v>6.2E-2</v>
      </c>
      <c r="I7" s="2">
        <v>122</v>
      </c>
      <c r="J7" s="8">
        <v>0</v>
      </c>
      <c r="K7" s="9">
        <v>9.4E-2</v>
      </c>
      <c r="L7" s="2">
        <v>122</v>
      </c>
      <c r="M7" s="8">
        <v>0</v>
      </c>
      <c r="N7" s="9">
        <v>1.859</v>
      </c>
      <c r="O7" s="2">
        <v>122</v>
      </c>
      <c r="P7" s="8">
        <v>0</v>
      </c>
      <c r="Q7" s="9">
        <v>0.375</v>
      </c>
    </row>
    <row r="8" spans="1:17" x14ac:dyDescent="0.4">
      <c r="A8" s="1" t="s">
        <v>8</v>
      </c>
      <c r="B8" s="1" t="s">
        <v>0</v>
      </c>
      <c r="C8" s="1">
        <v>5</v>
      </c>
      <c r="D8" s="1" t="s">
        <v>1</v>
      </c>
      <c r="E8" s="1">
        <v>10</v>
      </c>
      <c r="F8" s="2">
        <v>107</v>
      </c>
      <c r="G8" s="6">
        <v>0</v>
      </c>
      <c r="H8" s="7">
        <v>1.6E-2</v>
      </c>
      <c r="I8" s="2">
        <v>107</v>
      </c>
      <c r="J8" s="8">
        <v>0</v>
      </c>
      <c r="K8" s="9">
        <v>1.6E-2</v>
      </c>
      <c r="L8" s="2">
        <v>107</v>
      </c>
      <c r="M8" s="8">
        <v>0</v>
      </c>
      <c r="N8" s="9">
        <v>9.4E-2</v>
      </c>
      <c r="O8" s="2">
        <v>107</v>
      </c>
      <c r="P8" s="8">
        <v>0</v>
      </c>
      <c r="Q8" s="9">
        <v>0.42199999999999999</v>
      </c>
    </row>
    <row r="9" spans="1:17" x14ac:dyDescent="0.4">
      <c r="A9" s="1" t="s">
        <v>9</v>
      </c>
      <c r="B9" s="1" t="s">
        <v>0</v>
      </c>
      <c r="C9" s="1">
        <v>5</v>
      </c>
      <c r="D9" s="1" t="s">
        <v>1</v>
      </c>
      <c r="E9" s="1">
        <v>12</v>
      </c>
      <c r="F9" s="2">
        <v>103</v>
      </c>
      <c r="G9" s="6">
        <v>0</v>
      </c>
      <c r="H9" s="7">
        <v>7.8E-2</v>
      </c>
      <c r="I9" s="2">
        <v>103</v>
      </c>
      <c r="J9" s="8">
        <v>0</v>
      </c>
      <c r="K9" s="9">
        <v>3.1E-2</v>
      </c>
      <c r="L9" s="2">
        <v>103</v>
      </c>
      <c r="M9" s="8">
        <v>0</v>
      </c>
      <c r="N9" s="9">
        <v>9.4E-2</v>
      </c>
      <c r="O9" s="2">
        <v>103</v>
      </c>
      <c r="P9" s="8">
        <v>0</v>
      </c>
      <c r="Q9" s="9">
        <v>0.67200000000000004</v>
      </c>
    </row>
    <row r="10" spans="1:17" x14ac:dyDescent="0.4">
      <c r="A10" s="1" t="s">
        <v>10</v>
      </c>
      <c r="B10" s="1" t="s">
        <v>0</v>
      </c>
      <c r="C10" s="1">
        <v>10</v>
      </c>
      <c r="D10" s="1" t="s">
        <v>1</v>
      </c>
      <c r="E10" s="1">
        <v>4</v>
      </c>
      <c r="F10" s="2">
        <v>350</v>
      </c>
      <c r="G10" s="11">
        <v>36.4931428571429</v>
      </c>
      <c r="H10" s="7">
        <v>3600.0309999999999</v>
      </c>
      <c r="I10" s="2">
        <v>350</v>
      </c>
      <c r="J10" s="8">
        <v>0</v>
      </c>
      <c r="K10" s="9">
        <v>15.234</v>
      </c>
      <c r="L10" s="2">
        <v>350</v>
      </c>
      <c r="M10" s="10">
        <v>9.5142857142864801E-2</v>
      </c>
      <c r="N10" s="9">
        <v>422.20299999999997</v>
      </c>
      <c r="O10" s="2">
        <v>350</v>
      </c>
      <c r="P10" s="8">
        <v>0</v>
      </c>
      <c r="Q10" s="9">
        <v>28.905999999999999</v>
      </c>
    </row>
    <row r="11" spans="1:17" x14ac:dyDescent="0.4">
      <c r="A11" s="1" t="s">
        <v>11</v>
      </c>
      <c r="B11" s="1" t="s">
        <v>0</v>
      </c>
      <c r="C11" s="1">
        <v>10</v>
      </c>
      <c r="D11" s="1" t="s">
        <v>1</v>
      </c>
      <c r="E11" s="1">
        <v>6</v>
      </c>
      <c r="F11" s="2">
        <v>228</v>
      </c>
      <c r="G11" s="6">
        <v>0</v>
      </c>
      <c r="H11" s="7">
        <v>376.79700000000003</v>
      </c>
      <c r="I11" s="2">
        <v>228</v>
      </c>
      <c r="J11" s="8">
        <v>0</v>
      </c>
      <c r="K11" s="9">
        <v>10.688000000000001</v>
      </c>
      <c r="L11" s="2">
        <v>228</v>
      </c>
      <c r="M11" s="10">
        <v>9.5175438596496895E-2</v>
      </c>
      <c r="N11" s="9">
        <v>46.469000000000001</v>
      </c>
      <c r="O11" s="2">
        <v>228</v>
      </c>
      <c r="P11" s="8">
        <v>0</v>
      </c>
      <c r="Q11" s="9">
        <v>10.016</v>
      </c>
    </row>
    <row r="12" spans="1:17" x14ac:dyDescent="0.4">
      <c r="A12" s="1" t="s">
        <v>12</v>
      </c>
      <c r="B12" s="1" t="s">
        <v>0</v>
      </c>
      <c r="C12" s="1">
        <v>10</v>
      </c>
      <c r="D12" s="1" t="s">
        <v>1</v>
      </c>
      <c r="E12" s="1">
        <v>8</v>
      </c>
      <c r="F12" s="2">
        <v>178</v>
      </c>
      <c r="G12" s="6">
        <v>0</v>
      </c>
      <c r="H12" s="7">
        <v>30.797000000000001</v>
      </c>
      <c r="I12" s="2">
        <v>178</v>
      </c>
      <c r="J12" s="8">
        <v>0</v>
      </c>
      <c r="K12" s="9">
        <v>56.938000000000002</v>
      </c>
      <c r="L12" s="2">
        <v>178</v>
      </c>
      <c r="M12" s="10">
        <v>9.3820224719101994E-2</v>
      </c>
      <c r="N12" s="9">
        <v>211.703</v>
      </c>
      <c r="O12" s="2">
        <v>178</v>
      </c>
      <c r="P12" s="10">
        <v>6.7415730337081203E-3</v>
      </c>
      <c r="Q12" s="9">
        <v>12.952999999999999</v>
      </c>
    </row>
    <row r="13" spans="1:17" x14ac:dyDescent="0.4">
      <c r="A13" s="1" t="s">
        <v>13</v>
      </c>
      <c r="B13" s="1" t="s">
        <v>0</v>
      </c>
      <c r="C13" s="1">
        <v>10</v>
      </c>
      <c r="D13" s="1" t="s">
        <v>1</v>
      </c>
      <c r="E13" s="1">
        <v>10</v>
      </c>
      <c r="F13" s="2">
        <v>153</v>
      </c>
      <c r="G13" s="6">
        <v>0</v>
      </c>
      <c r="H13" s="7">
        <v>7.4219999999999997</v>
      </c>
      <c r="I13" s="2">
        <v>153</v>
      </c>
      <c r="J13" s="8">
        <v>0</v>
      </c>
      <c r="K13" s="9">
        <v>55.594000000000001</v>
      </c>
      <c r="L13" s="2">
        <v>153</v>
      </c>
      <c r="M13" s="10">
        <v>0</v>
      </c>
      <c r="N13" s="9">
        <v>215.15600000000001</v>
      </c>
      <c r="O13" s="2">
        <v>153</v>
      </c>
      <c r="P13" s="8">
        <v>0</v>
      </c>
      <c r="Q13" s="9">
        <v>15.327999999999999</v>
      </c>
    </row>
    <row r="14" spans="1:17" x14ac:dyDescent="0.4">
      <c r="A14" s="1" t="s">
        <v>14</v>
      </c>
      <c r="B14" s="1" t="s">
        <v>0</v>
      </c>
      <c r="C14" s="1">
        <v>10</v>
      </c>
      <c r="D14" s="1" t="s">
        <v>1</v>
      </c>
      <c r="E14" s="1">
        <v>12</v>
      </c>
      <c r="F14" s="2">
        <v>160</v>
      </c>
      <c r="G14" s="6">
        <v>0</v>
      </c>
      <c r="H14" s="7">
        <v>2.625</v>
      </c>
      <c r="I14" s="2">
        <v>160</v>
      </c>
      <c r="J14" s="8">
        <v>0</v>
      </c>
      <c r="K14" s="9">
        <v>8.2029999999999994</v>
      </c>
      <c r="L14" s="2">
        <v>160</v>
      </c>
      <c r="M14" s="10">
        <v>9.3125000000000596E-2</v>
      </c>
      <c r="N14" s="9">
        <v>413.23399999999998</v>
      </c>
      <c r="O14" s="2">
        <v>160</v>
      </c>
      <c r="P14" s="10">
        <v>9.9999999999944595E-3</v>
      </c>
      <c r="Q14" s="9">
        <v>108.422</v>
      </c>
    </row>
    <row r="15" spans="1:17" x14ac:dyDescent="0.4">
      <c r="A15" s="1" t="s">
        <v>15</v>
      </c>
      <c r="B15" s="1" t="s">
        <v>0</v>
      </c>
      <c r="C15" s="1">
        <v>15</v>
      </c>
      <c r="D15" s="1" t="s">
        <v>1</v>
      </c>
      <c r="E15" s="1">
        <v>4</v>
      </c>
      <c r="F15" s="2">
        <v>595</v>
      </c>
      <c r="G15" s="11">
        <v>70.924369747899206</v>
      </c>
      <c r="H15" s="7">
        <v>3600</v>
      </c>
      <c r="I15" s="2">
        <v>591</v>
      </c>
      <c r="J15" s="10">
        <v>2.7072758037225002</v>
      </c>
      <c r="K15" s="9">
        <v>3600</v>
      </c>
      <c r="L15" s="2">
        <v>604</v>
      </c>
      <c r="M15" s="10">
        <v>4.8013245033112604</v>
      </c>
      <c r="N15" s="9">
        <v>3600</v>
      </c>
      <c r="O15" s="2">
        <v>587</v>
      </c>
      <c r="P15" s="8">
        <v>0</v>
      </c>
      <c r="Q15" s="9">
        <v>289.40600000000001</v>
      </c>
    </row>
    <row r="16" spans="1:17" x14ac:dyDescent="0.4">
      <c r="A16" s="1" t="s">
        <v>16</v>
      </c>
      <c r="B16" s="1" t="s">
        <v>0</v>
      </c>
      <c r="C16" s="1">
        <v>15</v>
      </c>
      <c r="D16" s="1" t="s">
        <v>1</v>
      </c>
      <c r="E16" s="1">
        <v>6</v>
      </c>
      <c r="F16" s="2">
        <v>402</v>
      </c>
      <c r="G16" s="11">
        <v>57.308457711442799</v>
      </c>
      <c r="H16" s="7">
        <v>3600</v>
      </c>
      <c r="I16" s="2">
        <v>395</v>
      </c>
      <c r="J16" s="10">
        <v>2.40506329113924</v>
      </c>
      <c r="K16" s="9">
        <v>3600</v>
      </c>
      <c r="L16" s="2">
        <v>403</v>
      </c>
      <c r="M16" s="10">
        <v>5.1282878411910602</v>
      </c>
      <c r="N16" s="9">
        <v>3600</v>
      </c>
      <c r="O16" s="2">
        <v>394</v>
      </c>
      <c r="P16" s="8">
        <v>8.8832487309708098E-3</v>
      </c>
      <c r="Q16" s="9">
        <v>330.26600000000002</v>
      </c>
    </row>
    <row r="17" spans="1:17" x14ac:dyDescent="0.4">
      <c r="A17" s="1" t="s">
        <v>17</v>
      </c>
      <c r="B17" s="1" t="s">
        <v>0</v>
      </c>
      <c r="C17" s="1">
        <v>15</v>
      </c>
      <c r="D17" s="1" t="s">
        <v>1</v>
      </c>
      <c r="E17" s="1">
        <v>8</v>
      </c>
      <c r="F17" s="2">
        <v>303</v>
      </c>
      <c r="G17" s="11">
        <v>43.564356435643603</v>
      </c>
      <c r="H17" s="7">
        <v>3600</v>
      </c>
      <c r="I17" s="2">
        <v>297</v>
      </c>
      <c r="J17" s="10">
        <v>2.1043771043770998</v>
      </c>
      <c r="K17" s="9">
        <v>3600</v>
      </c>
      <c r="L17" s="2">
        <v>300</v>
      </c>
      <c r="M17" s="10">
        <v>4.3333333333333304</v>
      </c>
      <c r="N17" s="9">
        <v>3600</v>
      </c>
      <c r="O17" s="2">
        <v>297</v>
      </c>
      <c r="P17" s="8">
        <v>9.7643097643085406E-3</v>
      </c>
      <c r="Q17" s="9">
        <v>819.23400000000004</v>
      </c>
    </row>
    <row r="18" spans="1:17" x14ac:dyDescent="0.4">
      <c r="A18" s="1" t="s">
        <v>18</v>
      </c>
      <c r="B18" s="1" t="s">
        <v>0</v>
      </c>
      <c r="C18" s="1">
        <v>15</v>
      </c>
      <c r="D18" s="1" t="s">
        <v>1</v>
      </c>
      <c r="E18" s="1">
        <v>10</v>
      </c>
      <c r="F18" s="2">
        <v>220</v>
      </c>
      <c r="G18" s="11">
        <v>37.727272727272698</v>
      </c>
      <c r="H18" s="7">
        <v>3600</v>
      </c>
      <c r="I18" s="2">
        <v>210</v>
      </c>
      <c r="J18" s="10">
        <v>3.6895238095237999</v>
      </c>
      <c r="K18" s="9">
        <v>3600</v>
      </c>
      <c r="L18" s="2">
        <v>215</v>
      </c>
      <c r="M18" s="10">
        <v>7.4418604651162799</v>
      </c>
      <c r="N18" s="9">
        <v>3600</v>
      </c>
      <c r="O18" s="2">
        <v>210</v>
      </c>
      <c r="P18" s="8">
        <v>9.9999999999936095E-3</v>
      </c>
      <c r="Q18" s="9">
        <v>1773.703</v>
      </c>
    </row>
    <row r="19" spans="1:17" x14ac:dyDescent="0.4">
      <c r="A19" s="1" t="s">
        <v>19</v>
      </c>
      <c r="B19" s="1" t="s">
        <v>0</v>
      </c>
      <c r="C19" s="1">
        <v>15</v>
      </c>
      <c r="D19" s="1" t="s">
        <v>1</v>
      </c>
      <c r="E19" s="1">
        <v>12</v>
      </c>
      <c r="F19" s="2">
        <v>183</v>
      </c>
      <c r="G19" s="11">
        <v>19.672131147540998</v>
      </c>
      <c r="H19" s="7">
        <v>3600</v>
      </c>
      <c r="I19" s="2">
        <v>180</v>
      </c>
      <c r="J19" s="10">
        <v>5</v>
      </c>
      <c r="K19" s="9">
        <v>3600</v>
      </c>
      <c r="L19" s="2">
        <v>184</v>
      </c>
      <c r="M19" s="10">
        <v>16.304347826087</v>
      </c>
      <c r="N19" s="9">
        <v>3600</v>
      </c>
      <c r="O19" s="2">
        <v>180</v>
      </c>
      <c r="P19" s="8">
        <v>1.0000000000000399E-2</v>
      </c>
      <c r="Q19" s="9">
        <v>2284.1880000000001</v>
      </c>
    </row>
    <row r="20" spans="1:17" x14ac:dyDescent="0.4">
      <c r="A20" s="1" t="s">
        <v>20</v>
      </c>
      <c r="B20" s="1" t="s">
        <v>0</v>
      </c>
      <c r="C20" s="1">
        <v>20</v>
      </c>
      <c r="D20" s="1" t="s">
        <v>1</v>
      </c>
      <c r="E20" s="1">
        <v>4</v>
      </c>
      <c r="F20" s="2">
        <v>736</v>
      </c>
      <c r="G20" s="11">
        <v>80.027173913043498</v>
      </c>
      <c r="H20" s="7">
        <v>3600</v>
      </c>
      <c r="I20" s="2">
        <v>732</v>
      </c>
      <c r="J20" s="10">
        <v>4.3032786885245899</v>
      </c>
      <c r="K20" s="9">
        <v>3600</v>
      </c>
      <c r="L20" s="2">
        <v>749</v>
      </c>
      <c r="M20" s="10">
        <v>6.4753004005340502</v>
      </c>
      <c r="N20" s="9">
        <v>3600</v>
      </c>
      <c r="O20" s="2">
        <v>715</v>
      </c>
      <c r="P20" s="8">
        <v>1.6783216783216801</v>
      </c>
      <c r="Q20" s="9">
        <v>3600</v>
      </c>
    </row>
    <row r="21" spans="1:17" x14ac:dyDescent="0.4">
      <c r="A21" s="1" t="s">
        <v>21</v>
      </c>
      <c r="B21" s="1" t="s">
        <v>0</v>
      </c>
      <c r="C21" s="1">
        <v>20</v>
      </c>
      <c r="D21" s="1" t="s">
        <v>1</v>
      </c>
      <c r="E21" s="1">
        <v>6</v>
      </c>
      <c r="F21" s="2">
        <v>461</v>
      </c>
      <c r="G21" s="11">
        <v>73.318872017353598</v>
      </c>
      <c r="H21" s="7">
        <v>3600</v>
      </c>
      <c r="I21" s="2">
        <v>450</v>
      </c>
      <c r="J21" s="10">
        <v>4.8148888888888797</v>
      </c>
      <c r="K21" s="9">
        <v>3600</v>
      </c>
      <c r="L21" s="2">
        <v>463</v>
      </c>
      <c r="M21" s="10">
        <v>7.4874730021598204</v>
      </c>
      <c r="N21" s="9">
        <v>2455.8119999999999</v>
      </c>
      <c r="O21" s="2">
        <v>440</v>
      </c>
      <c r="P21" s="8">
        <v>2.5806818181818199</v>
      </c>
      <c r="Q21" s="9">
        <v>3600</v>
      </c>
    </row>
    <row r="22" spans="1:17" x14ac:dyDescent="0.4">
      <c r="A22" s="1" t="s">
        <v>22</v>
      </c>
      <c r="B22" s="1" t="s">
        <v>0</v>
      </c>
      <c r="C22" s="1">
        <v>20</v>
      </c>
      <c r="D22" s="1" t="s">
        <v>1</v>
      </c>
      <c r="E22" s="1">
        <v>8</v>
      </c>
      <c r="F22" s="2">
        <v>411</v>
      </c>
      <c r="G22" s="11">
        <v>69.890997566910002</v>
      </c>
      <c r="H22" s="7">
        <v>3600</v>
      </c>
      <c r="I22" s="2">
        <v>398</v>
      </c>
      <c r="J22" s="10">
        <v>4.2085427135678399</v>
      </c>
      <c r="K22" s="9">
        <v>3600</v>
      </c>
      <c r="L22" s="2">
        <v>410</v>
      </c>
      <c r="M22" s="10">
        <v>7.01219512195122</v>
      </c>
      <c r="N22" s="9">
        <v>3459.7809999999999</v>
      </c>
      <c r="O22" s="2">
        <v>391</v>
      </c>
      <c r="P22" s="8">
        <v>2.1739130434782599</v>
      </c>
      <c r="Q22" s="9">
        <v>3600</v>
      </c>
    </row>
    <row r="23" spans="1:17" x14ac:dyDescent="0.4">
      <c r="A23" s="1" t="s">
        <v>23</v>
      </c>
      <c r="B23" s="1" t="s">
        <v>0</v>
      </c>
      <c r="C23" s="1">
        <v>20</v>
      </c>
      <c r="D23" s="1" t="s">
        <v>1</v>
      </c>
      <c r="E23" s="1">
        <v>10</v>
      </c>
      <c r="F23" s="2">
        <v>304</v>
      </c>
      <c r="G23" s="11">
        <v>55.921052631578902</v>
      </c>
      <c r="H23" s="7">
        <v>3600</v>
      </c>
      <c r="I23" s="2">
        <v>292</v>
      </c>
      <c r="J23" s="10">
        <v>5.9589041095890298</v>
      </c>
      <c r="K23" s="9">
        <v>3600</v>
      </c>
      <c r="L23" s="2">
        <v>306</v>
      </c>
      <c r="M23" s="10">
        <v>10.261437908496699</v>
      </c>
      <c r="N23" s="9">
        <v>3124.0940000000001</v>
      </c>
      <c r="O23" s="2">
        <v>284</v>
      </c>
      <c r="P23" s="8">
        <v>2.9257042253521202</v>
      </c>
      <c r="Q23" s="9">
        <v>3600</v>
      </c>
    </row>
    <row r="24" spans="1:17" x14ac:dyDescent="0.4">
      <c r="A24" s="1" t="s">
        <v>24</v>
      </c>
      <c r="B24" s="1" t="s">
        <v>0</v>
      </c>
      <c r="C24" s="1">
        <v>20</v>
      </c>
      <c r="D24" s="1" t="s">
        <v>1</v>
      </c>
      <c r="E24" s="1">
        <v>12</v>
      </c>
      <c r="F24" s="2">
        <v>251</v>
      </c>
      <c r="G24" s="11">
        <v>51.394422310757001</v>
      </c>
      <c r="H24" s="7">
        <v>3600</v>
      </c>
      <c r="I24" s="2">
        <v>243</v>
      </c>
      <c r="J24" s="10">
        <v>10.170370370370399</v>
      </c>
      <c r="K24" s="9">
        <v>3600</v>
      </c>
      <c r="L24" s="2">
        <v>260</v>
      </c>
      <c r="M24" s="10">
        <v>22.876538461538502</v>
      </c>
      <c r="N24" s="9">
        <v>3600</v>
      </c>
      <c r="O24" s="2">
        <v>233</v>
      </c>
      <c r="P24" s="8">
        <v>3.3446351931330498</v>
      </c>
      <c r="Q24" s="9">
        <v>3600</v>
      </c>
    </row>
    <row r="25" spans="1:17" x14ac:dyDescent="0.4">
      <c r="A25" s="1" t="s">
        <v>25</v>
      </c>
      <c r="B25" s="1" t="s">
        <v>0</v>
      </c>
      <c r="C25" s="1">
        <v>25</v>
      </c>
      <c r="D25" s="1" t="s">
        <v>1</v>
      </c>
      <c r="E25" s="1">
        <v>4</v>
      </c>
      <c r="F25" s="2">
        <v>897</v>
      </c>
      <c r="G25" s="11">
        <v>82.608695652173907</v>
      </c>
      <c r="H25" s="7">
        <v>3600</v>
      </c>
      <c r="I25" s="2">
        <v>906</v>
      </c>
      <c r="J25" s="10">
        <v>6.01545253863135</v>
      </c>
      <c r="K25" s="9">
        <v>3600</v>
      </c>
      <c r="L25" s="2">
        <v>929</v>
      </c>
      <c r="M25" s="10">
        <v>8.3423035522066709</v>
      </c>
      <c r="N25" s="9">
        <v>1301.1559999999999</v>
      </c>
      <c r="O25" s="2">
        <v>873</v>
      </c>
      <c r="P25" s="8">
        <v>2.0618556701030899</v>
      </c>
      <c r="Q25" s="9">
        <v>3600</v>
      </c>
    </row>
    <row r="26" spans="1:17" x14ac:dyDescent="0.4">
      <c r="A26" s="1" t="s">
        <v>26</v>
      </c>
      <c r="B26" s="1" t="s">
        <v>0</v>
      </c>
      <c r="C26" s="1">
        <v>25</v>
      </c>
      <c r="D26" s="1" t="s">
        <v>1</v>
      </c>
      <c r="E26" s="1">
        <v>6</v>
      </c>
      <c r="F26" s="2">
        <v>557</v>
      </c>
      <c r="G26" s="11">
        <v>76.122082585278307</v>
      </c>
      <c r="H26" s="7">
        <v>3600</v>
      </c>
      <c r="I26" s="2">
        <v>551</v>
      </c>
      <c r="J26" s="10">
        <v>6.1705989110707797</v>
      </c>
      <c r="K26" s="9">
        <v>3600</v>
      </c>
      <c r="L26" s="2">
        <v>564</v>
      </c>
      <c r="M26" s="10">
        <v>8.3333333333333304</v>
      </c>
      <c r="N26" s="9">
        <v>3600</v>
      </c>
      <c r="O26" s="2">
        <v>534</v>
      </c>
      <c r="P26" s="8">
        <v>3.1835205992509401</v>
      </c>
      <c r="Q26" s="9">
        <v>3600</v>
      </c>
    </row>
    <row r="27" spans="1:17" x14ac:dyDescent="0.4">
      <c r="A27" s="1" t="s">
        <v>27</v>
      </c>
      <c r="B27" s="1" t="s">
        <v>0</v>
      </c>
      <c r="C27" s="1">
        <v>25</v>
      </c>
      <c r="D27" s="1" t="s">
        <v>1</v>
      </c>
      <c r="E27" s="1">
        <v>8</v>
      </c>
      <c r="F27" s="2">
        <v>453</v>
      </c>
      <c r="G27" s="11">
        <v>73.951434878587193</v>
      </c>
      <c r="H27" s="7">
        <v>3600</v>
      </c>
      <c r="I27" s="2">
        <v>445</v>
      </c>
      <c r="J27" s="10">
        <v>5.5056179775280896</v>
      </c>
      <c r="K27" s="9">
        <v>3600</v>
      </c>
      <c r="L27" s="2">
        <v>471</v>
      </c>
      <c r="M27" s="10">
        <v>10.983651804670901</v>
      </c>
      <c r="N27" s="9">
        <v>1096.1410000000001</v>
      </c>
      <c r="O27" s="2">
        <v>432</v>
      </c>
      <c r="P27" s="8">
        <v>2.6806942129629601</v>
      </c>
      <c r="Q27" s="9">
        <v>3600</v>
      </c>
    </row>
    <row r="28" spans="1:17" x14ac:dyDescent="0.4">
      <c r="A28" s="1" t="s">
        <v>28</v>
      </c>
      <c r="B28" s="1" t="s">
        <v>0</v>
      </c>
      <c r="C28" s="1">
        <v>25</v>
      </c>
      <c r="D28" s="1" t="s">
        <v>1</v>
      </c>
      <c r="E28" s="1">
        <v>10</v>
      </c>
      <c r="F28" s="2">
        <v>385</v>
      </c>
      <c r="G28" s="11">
        <v>69.353246753246793</v>
      </c>
      <c r="H28" s="7">
        <v>3600</v>
      </c>
      <c r="I28" s="2">
        <v>368</v>
      </c>
      <c r="J28" s="10">
        <v>5.0543478260869596</v>
      </c>
      <c r="K28" s="9">
        <v>3600</v>
      </c>
      <c r="L28" s="2">
        <v>393</v>
      </c>
      <c r="M28" s="10">
        <v>16.2961832061069</v>
      </c>
      <c r="N28" s="9">
        <v>3104.8440000000001</v>
      </c>
      <c r="O28" s="2">
        <v>360</v>
      </c>
      <c r="P28" s="8">
        <v>3.03833333333333</v>
      </c>
      <c r="Q28" s="9">
        <v>3600</v>
      </c>
    </row>
    <row r="29" spans="1:17" x14ac:dyDescent="0.4">
      <c r="A29" s="1" t="s">
        <v>29</v>
      </c>
      <c r="B29" s="1" t="s">
        <v>0</v>
      </c>
      <c r="C29" s="1">
        <v>25</v>
      </c>
      <c r="D29" s="1" t="s">
        <v>1</v>
      </c>
      <c r="E29" s="1">
        <v>12</v>
      </c>
      <c r="F29" s="2">
        <v>321</v>
      </c>
      <c r="G29" s="11">
        <v>63.862928348909698</v>
      </c>
      <c r="H29" s="7">
        <v>3600</v>
      </c>
      <c r="I29" s="2">
        <v>313</v>
      </c>
      <c r="J29" s="10">
        <v>20.399680511182101</v>
      </c>
      <c r="K29" s="9">
        <v>3600</v>
      </c>
      <c r="L29" s="2">
        <v>336</v>
      </c>
      <c r="M29" s="10">
        <v>33.331547619047598</v>
      </c>
      <c r="N29" s="9">
        <v>3600</v>
      </c>
      <c r="O29" s="2">
        <v>303</v>
      </c>
      <c r="P29" s="8">
        <v>4.0644244224422401</v>
      </c>
      <c r="Q29" s="9">
        <v>3600</v>
      </c>
    </row>
    <row r="30" spans="1:17" x14ac:dyDescent="0.4">
      <c r="B30" s="35" t="s">
        <v>35</v>
      </c>
      <c r="C30" s="36"/>
      <c r="D30" s="36"/>
      <c r="E30" s="36"/>
      <c r="F30" s="3">
        <f>AVERAGE(F5:F29)</f>
        <v>328.52</v>
      </c>
      <c r="G30" s="11">
        <f t="shared" ref="G30:Q30" si="0">AVERAGE(G5:G29)</f>
        <v>38.485625491391197</v>
      </c>
      <c r="H30" s="12">
        <f t="shared" si="0"/>
        <v>2320.72064</v>
      </c>
      <c r="I30" s="3">
        <f t="shared" si="0"/>
        <v>324.2</v>
      </c>
      <c r="J30" s="10">
        <f t="shared" si="0"/>
        <v>3.5403169017681102</v>
      </c>
      <c r="K30" s="13">
        <f t="shared" si="0"/>
        <v>2165.8781600000002</v>
      </c>
      <c r="L30" s="3">
        <f t="shared" si="0"/>
        <v>332.84</v>
      </c>
      <c r="M30" s="10">
        <f t="shared" si="0"/>
        <v>6.7921179978752102</v>
      </c>
      <c r="N30" s="13">
        <f t="shared" si="0"/>
        <v>1930.3281199999999</v>
      </c>
      <c r="O30" s="14">
        <f t="shared" si="0"/>
        <v>318.68</v>
      </c>
      <c r="P30" s="8">
        <f t="shared" si="0"/>
        <v>1.1114989331235401</v>
      </c>
      <c r="Q30" s="15">
        <f t="shared" si="0"/>
        <v>1667.0250000000001</v>
      </c>
    </row>
    <row r="32" spans="1:17" x14ac:dyDescent="0.4">
      <c r="A32" s="43" t="s">
        <v>80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</row>
    <row r="33" spans="1:17" x14ac:dyDescent="0.4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</row>
    <row r="34" spans="1:17" x14ac:dyDescent="0.4">
      <c r="F34" s="46" t="s">
        <v>77</v>
      </c>
      <c r="G34" s="36"/>
      <c r="H34" s="45"/>
      <c r="I34" s="46" t="s">
        <v>78</v>
      </c>
      <c r="J34" s="36"/>
      <c r="K34" s="45"/>
      <c r="L34" s="44" t="s">
        <v>79</v>
      </c>
      <c r="M34" s="36"/>
      <c r="N34" s="45"/>
      <c r="O34" s="44" t="s">
        <v>39</v>
      </c>
      <c r="P34" s="36"/>
      <c r="Q34" s="45"/>
    </row>
    <row r="35" spans="1:17" x14ac:dyDescent="0.4">
      <c r="F35" s="2" t="s">
        <v>41</v>
      </c>
      <c r="G35" s="5" t="s">
        <v>42</v>
      </c>
      <c r="H35" s="4" t="s">
        <v>45</v>
      </c>
      <c r="I35" s="2" t="s">
        <v>41</v>
      </c>
      <c r="J35" s="5" t="s">
        <v>42</v>
      </c>
      <c r="K35" s="4" t="s">
        <v>45</v>
      </c>
      <c r="L35" s="2" t="s">
        <v>41</v>
      </c>
      <c r="M35" s="5" t="s">
        <v>42</v>
      </c>
      <c r="N35" s="4" t="s">
        <v>45</v>
      </c>
      <c r="O35" s="2" t="s">
        <v>41</v>
      </c>
      <c r="P35" s="5" t="s">
        <v>42</v>
      </c>
      <c r="Q35" s="4" t="s">
        <v>45</v>
      </c>
    </row>
    <row r="36" spans="1:17" x14ac:dyDescent="0.4">
      <c r="A36" s="1" t="s">
        <v>5</v>
      </c>
      <c r="B36" s="1" t="s">
        <v>0</v>
      </c>
      <c r="C36" s="1">
        <v>30</v>
      </c>
      <c r="D36" s="1" t="s">
        <v>1</v>
      </c>
      <c r="E36" s="1">
        <v>14</v>
      </c>
      <c r="F36" s="2">
        <v>326</v>
      </c>
      <c r="G36" s="11">
        <v>66.871165644171796</v>
      </c>
      <c r="H36" s="1">
        <v>3600.1559999999999</v>
      </c>
      <c r="I36" s="3">
        <v>318</v>
      </c>
      <c r="J36" s="10">
        <v>31.746855345912</v>
      </c>
      <c r="K36" s="1">
        <v>3600.203</v>
      </c>
      <c r="L36" s="2">
        <v>333</v>
      </c>
      <c r="M36" s="10">
        <v>36.679879879879898</v>
      </c>
      <c r="N36" s="1">
        <v>3600.6089999999999</v>
      </c>
      <c r="O36" s="14">
        <v>301</v>
      </c>
      <c r="P36" s="8">
        <v>5.5023255813953504</v>
      </c>
      <c r="Q36" s="1">
        <v>3602.7660000000001</v>
      </c>
    </row>
    <row r="37" spans="1:17" x14ac:dyDescent="0.4">
      <c r="A37" s="1" t="s">
        <v>6</v>
      </c>
      <c r="B37" s="1" t="s">
        <v>0</v>
      </c>
      <c r="C37" s="1">
        <v>30</v>
      </c>
      <c r="D37" s="1" t="s">
        <v>1</v>
      </c>
      <c r="E37" s="1">
        <v>16</v>
      </c>
      <c r="F37" s="2">
        <v>285</v>
      </c>
      <c r="G37" s="11">
        <v>59.298245614035103</v>
      </c>
      <c r="H37" s="1">
        <v>3600.2660000000001</v>
      </c>
      <c r="I37" s="3">
        <v>291</v>
      </c>
      <c r="J37" s="10">
        <v>33.197250859106497</v>
      </c>
      <c r="K37" s="1">
        <v>3600.2190000000001</v>
      </c>
      <c r="L37" s="2">
        <v>319</v>
      </c>
      <c r="M37" s="10">
        <v>41.028213166144198</v>
      </c>
      <c r="N37" s="1">
        <v>3600.5940000000001</v>
      </c>
      <c r="O37" s="14">
        <v>275</v>
      </c>
      <c r="P37" s="8">
        <v>7.7203636363636301</v>
      </c>
      <c r="Q37" s="1">
        <v>3606.375</v>
      </c>
    </row>
    <row r="38" spans="1:17" x14ac:dyDescent="0.4">
      <c r="A38" s="1" t="s">
        <v>7</v>
      </c>
      <c r="B38" s="1" t="s">
        <v>0</v>
      </c>
      <c r="C38" s="1">
        <v>30</v>
      </c>
      <c r="D38" s="1" t="s">
        <v>1</v>
      </c>
      <c r="E38" s="1">
        <v>18</v>
      </c>
      <c r="F38" s="2">
        <v>279</v>
      </c>
      <c r="G38" s="11">
        <v>56.272401433691797</v>
      </c>
      <c r="H38" s="1">
        <v>3600.2190000000001</v>
      </c>
      <c r="I38" s="3">
        <v>273</v>
      </c>
      <c r="J38" s="10">
        <v>29.868864468864501</v>
      </c>
      <c r="K38" s="1">
        <v>3600.2190000000001</v>
      </c>
      <c r="L38" s="2">
        <v>293</v>
      </c>
      <c r="M38" s="10">
        <v>48.647098976109199</v>
      </c>
      <c r="N38" s="1">
        <v>3600.6410000000001</v>
      </c>
      <c r="O38" s="14">
        <v>253</v>
      </c>
      <c r="P38" s="8">
        <v>5.5205533596837997</v>
      </c>
      <c r="Q38" s="1">
        <v>3609.172</v>
      </c>
    </row>
    <row r="39" spans="1:17" x14ac:dyDescent="0.4">
      <c r="A39" s="1" t="s">
        <v>8</v>
      </c>
      <c r="B39" s="1" t="s">
        <v>0</v>
      </c>
      <c r="C39" s="1">
        <v>30</v>
      </c>
      <c r="D39" s="1" t="s">
        <v>1</v>
      </c>
      <c r="E39" s="1">
        <v>20</v>
      </c>
      <c r="F39" s="2">
        <v>243</v>
      </c>
      <c r="G39" s="11">
        <v>50.617283950617299</v>
      </c>
      <c r="H39" s="1">
        <v>3600.2339999999999</v>
      </c>
      <c r="I39" s="3">
        <v>236</v>
      </c>
      <c r="J39" s="10">
        <v>29.676271186440701</v>
      </c>
      <c r="K39" s="1">
        <v>3600.1880000000001</v>
      </c>
      <c r="L39" s="2">
        <v>253</v>
      </c>
      <c r="M39" s="10">
        <v>41.796047430830001</v>
      </c>
      <c r="N39" s="1">
        <v>3600.672</v>
      </c>
      <c r="O39" s="14">
        <v>220</v>
      </c>
      <c r="P39" s="8">
        <v>5.8</v>
      </c>
      <c r="Q39" s="1">
        <v>3619.0309999999999</v>
      </c>
    </row>
    <row r="40" spans="1:17" x14ac:dyDescent="0.4">
      <c r="A40" s="1" t="s">
        <v>9</v>
      </c>
      <c r="B40" s="1" t="s">
        <v>0</v>
      </c>
      <c r="C40" s="1">
        <v>30</v>
      </c>
      <c r="D40" s="1" t="s">
        <v>1</v>
      </c>
      <c r="E40" s="1">
        <v>22</v>
      </c>
      <c r="F40" s="2">
        <v>223</v>
      </c>
      <c r="G40" s="11">
        <v>47.982062780269104</v>
      </c>
      <c r="H40" s="1">
        <v>3600.2660000000001</v>
      </c>
      <c r="I40" s="3">
        <v>218</v>
      </c>
      <c r="J40" s="10">
        <v>27.345412844036701</v>
      </c>
      <c r="K40" s="1">
        <v>3600.2660000000001</v>
      </c>
      <c r="L40" s="2">
        <v>253</v>
      </c>
      <c r="M40" s="10">
        <v>44.483794466403197</v>
      </c>
      <c r="N40" s="1">
        <v>3600.8589999999999</v>
      </c>
      <c r="O40" s="14">
        <v>205</v>
      </c>
      <c r="P40" s="8">
        <v>7.3</v>
      </c>
      <c r="Q40" s="1">
        <v>3615.297</v>
      </c>
    </row>
    <row r="41" spans="1:17" x14ac:dyDescent="0.4">
      <c r="A41" s="1" t="s">
        <v>10</v>
      </c>
      <c r="B41" s="1" t="s">
        <v>0</v>
      </c>
      <c r="C41" s="1">
        <v>35</v>
      </c>
      <c r="D41" s="1" t="s">
        <v>1</v>
      </c>
      <c r="E41" s="1">
        <v>14</v>
      </c>
      <c r="F41" s="2">
        <v>359</v>
      </c>
      <c r="G41" s="11">
        <v>69.637883008356496</v>
      </c>
      <c r="H41" s="1">
        <v>3600.2339999999999</v>
      </c>
      <c r="I41" s="3">
        <v>347</v>
      </c>
      <c r="J41" s="10">
        <v>26.521037463976899</v>
      </c>
      <c r="K41" s="1">
        <v>3600.3440000000001</v>
      </c>
      <c r="L41" s="2">
        <v>369</v>
      </c>
      <c r="M41" s="10">
        <v>35.546070460704598</v>
      </c>
      <c r="N41" s="1">
        <v>3600.547</v>
      </c>
      <c r="O41" s="14">
        <v>323</v>
      </c>
      <c r="P41" s="8">
        <v>4.1136222910216604</v>
      </c>
      <c r="Q41" s="1">
        <v>3609.25</v>
      </c>
    </row>
    <row r="42" spans="1:17" x14ac:dyDescent="0.4">
      <c r="A42" s="1" t="s">
        <v>11</v>
      </c>
      <c r="B42" s="1" t="s">
        <v>0</v>
      </c>
      <c r="C42" s="1">
        <v>35</v>
      </c>
      <c r="D42" s="1" t="s">
        <v>1</v>
      </c>
      <c r="E42" s="1">
        <v>16</v>
      </c>
      <c r="F42" s="2">
        <v>310</v>
      </c>
      <c r="G42" s="11">
        <v>60.645161290322598</v>
      </c>
      <c r="H42" s="1">
        <v>3600.25</v>
      </c>
      <c r="I42" s="3">
        <v>308</v>
      </c>
      <c r="J42" s="10">
        <v>33.968506493506503</v>
      </c>
      <c r="K42" s="1">
        <v>3600.25</v>
      </c>
      <c r="L42" s="2">
        <v>326</v>
      </c>
      <c r="M42" s="10">
        <v>41.061349693251501</v>
      </c>
      <c r="N42" s="1">
        <v>3600.6410000000001</v>
      </c>
      <c r="O42" s="14">
        <v>292</v>
      </c>
      <c r="P42" s="8">
        <v>7.6554794520547897</v>
      </c>
      <c r="Q42" s="1">
        <v>3604.672</v>
      </c>
    </row>
    <row r="43" spans="1:17" x14ac:dyDescent="0.4">
      <c r="A43" s="1" t="s">
        <v>12</v>
      </c>
      <c r="B43" s="1" t="s">
        <v>0</v>
      </c>
      <c r="C43" s="1">
        <v>35</v>
      </c>
      <c r="D43" s="1" t="s">
        <v>1</v>
      </c>
      <c r="E43" s="1">
        <v>18</v>
      </c>
      <c r="F43" s="2">
        <v>309</v>
      </c>
      <c r="G43" s="11">
        <v>64.401294498381901</v>
      </c>
      <c r="H43" s="1">
        <v>3600.2190000000001</v>
      </c>
      <c r="I43" s="3">
        <v>289</v>
      </c>
      <c r="J43" s="10">
        <v>34.782352941176498</v>
      </c>
      <c r="K43" s="1">
        <v>3600.328</v>
      </c>
      <c r="L43" s="2">
        <v>318</v>
      </c>
      <c r="M43" s="10">
        <v>40.926100628930797</v>
      </c>
      <c r="N43" s="1">
        <v>3600.8589999999999</v>
      </c>
      <c r="O43" s="14">
        <v>275</v>
      </c>
      <c r="P43" s="8">
        <v>8.0403636363636295</v>
      </c>
      <c r="Q43" s="1">
        <v>3605.1410000000001</v>
      </c>
    </row>
    <row r="44" spans="1:17" x14ac:dyDescent="0.4">
      <c r="A44" s="1" t="s">
        <v>13</v>
      </c>
      <c r="B44" s="1" t="s">
        <v>0</v>
      </c>
      <c r="C44" s="1">
        <v>35</v>
      </c>
      <c r="D44" s="1" t="s">
        <v>1</v>
      </c>
      <c r="E44" s="1">
        <v>20</v>
      </c>
      <c r="F44" s="2">
        <v>264</v>
      </c>
      <c r="G44" s="11">
        <v>50</v>
      </c>
      <c r="H44" s="1">
        <v>3600.2660000000001</v>
      </c>
      <c r="I44" s="3">
        <v>259</v>
      </c>
      <c r="J44" s="10">
        <v>30.489575289575299</v>
      </c>
      <c r="K44" s="1">
        <v>3600.5940000000001</v>
      </c>
      <c r="L44" s="2">
        <v>283</v>
      </c>
      <c r="M44" s="10">
        <v>37.1544169611307</v>
      </c>
      <c r="N44" s="1">
        <v>3601.0160000000001</v>
      </c>
      <c r="O44" s="14">
        <v>236</v>
      </c>
      <c r="P44" s="8">
        <v>6.7762711864406704</v>
      </c>
      <c r="Q44" s="1">
        <v>3608.3119999999999</v>
      </c>
    </row>
    <row r="45" spans="1:17" x14ac:dyDescent="0.4">
      <c r="A45" s="1" t="s">
        <v>14</v>
      </c>
      <c r="B45" s="1" t="s">
        <v>0</v>
      </c>
      <c r="C45" s="1">
        <v>35</v>
      </c>
      <c r="D45" s="1" t="s">
        <v>1</v>
      </c>
      <c r="E45" s="1">
        <v>22</v>
      </c>
      <c r="F45" s="2">
        <v>243</v>
      </c>
      <c r="G45" s="11">
        <v>55.967078189300402</v>
      </c>
      <c r="H45" s="1">
        <v>3600.2339999999999</v>
      </c>
      <c r="I45" s="3">
        <v>256</v>
      </c>
      <c r="J45" s="10">
        <v>39.391406250000003</v>
      </c>
      <c r="K45" s="1">
        <v>3600.422</v>
      </c>
      <c r="L45" s="2">
        <v>258</v>
      </c>
      <c r="M45" s="10">
        <v>41.35</v>
      </c>
      <c r="N45" s="1">
        <v>3600.578</v>
      </c>
      <c r="O45" s="14">
        <v>219</v>
      </c>
      <c r="P45" s="8">
        <v>8.6479452054794503</v>
      </c>
      <c r="Q45" s="1">
        <v>3609.1559999999999</v>
      </c>
    </row>
    <row r="46" spans="1:17" x14ac:dyDescent="0.4">
      <c r="A46" s="1" t="s">
        <v>15</v>
      </c>
      <c r="B46" s="1" t="s">
        <v>0</v>
      </c>
      <c r="C46" s="1">
        <v>40</v>
      </c>
      <c r="D46" s="1" t="s">
        <v>1</v>
      </c>
      <c r="E46" s="1">
        <v>14</v>
      </c>
      <c r="F46" s="2">
        <v>463</v>
      </c>
      <c r="G46" s="11">
        <v>72.786177105831499</v>
      </c>
      <c r="H46" s="1">
        <v>3600.2339999999999</v>
      </c>
      <c r="I46" s="3">
        <v>466</v>
      </c>
      <c r="J46" s="10">
        <v>28.8497854077253</v>
      </c>
      <c r="K46" s="1">
        <v>3600.3440000000001</v>
      </c>
      <c r="L46" s="2">
        <v>505</v>
      </c>
      <c r="M46" s="10">
        <v>41.051683168316799</v>
      </c>
      <c r="N46" s="1">
        <v>3600.7660000000001</v>
      </c>
      <c r="O46" s="14">
        <v>433</v>
      </c>
      <c r="P46" s="8">
        <v>4.5628175519630503</v>
      </c>
      <c r="Q46" s="1">
        <v>3604.8589999999999</v>
      </c>
    </row>
    <row r="47" spans="1:17" x14ac:dyDescent="0.4">
      <c r="A47" s="1" t="s">
        <v>16</v>
      </c>
      <c r="B47" s="1" t="s">
        <v>0</v>
      </c>
      <c r="C47" s="1">
        <v>40</v>
      </c>
      <c r="D47" s="1" t="s">
        <v>1</v>
      </c>
      <c r="E47" s="1">
        <v>16</v>
      </c>
      <c r="F47" s="2">
        <v>420</v>
      </c>
      <c r="G47" s="11">
        <v>70.238095238095198</v>
      </c>
      <c r="H47" s="1">
        <v>3600.3119999999999</v>
      </c>
      <c r="I47" s="3">
        <v>419</v>
      </c>
      <c r="J47" s="10">
        <v>30.0386634844869</v>
      </c>
      <c r="K47" s="1">
        <v>3600.375</v>
      </c>
      <c r="L47" s="2">
        <v>453</v>
      </c>
      <c r="M47" s="10">
        <v>39.772847682119199</v>
      </c>
      <c r="N47" s="1">
        <v>3601.2339999999999</v>
      </c>
      <c r="O47" s="14">
        <v>391</v>
      </c>
      <c r="P47" s="8">
        <v>4.03734015345269</v>
      </c>
      <c r="Q47" s="1">
        <v>3602.875</v>
      </c>
    </row>
    <row r="48" spans="1:17" x14ac:dyDescent="0.4">
      <c r="A48" s="1" t="s">
        <v>17</v>
      </c>
      <c r="B48" s="1" t="s">
        <v>0</v>
      </c>
      <c r="C48" s="1">
        <v>40</v>
      </c>
      <c r="D48" s="1" t="s">
        <v>1</v>
      </c>
      <c r="E48" s="1">
        <v>18</v>
      </c>
      <c r="F48" s="2">
        <v>369</v>
      </c>
      <c r="G48" s="11">
        <v>69.105691056910601</v>
      </c>
      <c r="H48" s="1">
        <v>3600.25</v>
      </c>
      <c r="I48" s="3">
        <v>351</v>
      </c>
      <c r="J48" s="10">
        <v>33.724216524216502</v>
      </c>
      <c r="K48" s="1">
        <v>3600.3589999999999</v>
      </c>
      <c r="L48" s="2">
        <v>376</v>
      </c>
      <c r="M48" s="10">
        <v>41.774468085106399</v>
      </c>
      <c r="N48" s="1">
        <v>3601.922</v>
      </c>
      <c r="O48" s="14">
        <v>331</v>
      </c>
      <c r="P48" s="8">
        <v>4.9679758308157096</v>
      </c>
      <c r="Q48" s="1">
        <v>3604.9690000000001</v>
      </c>
    </row>
    <row r="49" spans="1:17" x14ac:dyDescent="0.4">
      <c r="A49" s="1" t="s">
        <v>18</v>
      </c>
      <c r="B49" s="1" t="s">
        <v>0</v>
      </c>
      <c r="C49" s="1">
        <v>40</v>
      </c>
      <c r="D49" s="1" t="s">
        <v>1</v>
      </c>
      <c r="E49" s="1">
        <v>20</v>
      </c>
      <c r="F49" s="2">
        <v>314</v>
      </c>
      <c r="G49" s="11">
        <v>59.235668789808898</v>
      </c>
      <c r="H49" s="1">
        <v>3600.2190000000001</v>
      </c>
      <c r="I49" s="3">
        <v>310</v>
      </c>
      <c r="J49" s="10">
        <v>33.451935483870997</v>
      </c>
      <c r="K49" s="1">
        <v>3600.4380000000001</v>
      </c>
      <c r="L49" s="2">
        <v>361</v>
      </c>
      <c r="M49" s="10">
        <v>45.7227146814405</v>
      </c>
      <c r="N49" s="1">
        <v>3600.9690000000001</v>
      </c>
      <c r="O49" s="14">
        <v>295</v>
      </c>
      <c r="P49" s="8">
        <v>7.7444067796610199</v>
      </c>
      <c r="Q49" s="1">
        <v>3646.7190000000001</v>
      </c>
    </row>
    <row r="50" spans="1:17" x14ac:dyDescent="0.4">
      <c r="A50" s="1" t="s">
        <v>19</v>
      </c>
      <c r="B50" s="1" t="s">
        <v>0</v>
      </c>
      <c r="C50" s="1">
        <v>40</v>
      </c>
      <c r="D50" s="1" t="s">
        <v>1</v>
      </c>
      <c r="E50" s="1">
        <v>22</v>
      </c>
      <c r="F50" s="2">
        <v>290</v>
      </c>
      <c r="G50" s="11">
        <v>63.7931034482759</v>
      </c>
      <c r="H50" s="1">
        <v>3600.3589999999999</v>
      </c>
      <c r="I50" s="3">
        <v>296</v>
      </c>
      <c r="J50" s="10">
        <v>40.694256756756801</v>
      </c>
      <c r="K50" s="1">
        <v>3600.4380000000001</v>
      </c>
      <c r="L50" s="2">
        <v>357</v>
      </c>
      <c r="M50" s="10">
        <v>51.039215686274503</v>
      </c>
      <c r="N50" s="1">
        <v>3601.375</v>
      </c>
      <c r="O50" s="14">
        <v>262</v>
      </c>
      <c r="P50" s="8">
        <v>7.4419847328244204</v>
      </c>
      <c r="Q50" s="1">
        <v>3607.3440000000001</v>
      </c>
    </row>
    <row r="51" spans="1:17" x14ac:dyDescent="0.4">
      <c r="A51" s="1" t="s">
        <v>20</v>
      </c>
      <c r="B51" s="1" t="s">
        <v>0</v>
      </c>
      <c r="C51" s="1">
        <v>45</v>
      </c>
      <c r="D51" s="1" t="s">
        <v>1</v>
      </c>
      <c r="E51" s="1">
        <v>14</v>
      </c>
      <c r="F51" s="2">
        <v>466</v>
      </c>
      <c r="G51" s="11">
        <v>71.459227467811203</v>
      </c>
      <c r="H51" s="1">
        <v>3600.2809999999999</v>
      </c>
      <c r="I51" s="3">
        <v>470</v>
      </c>
      <c r="J51" s="10">
        <v>30.0934042553192</v>
      </c>
      <c r="K51" s="1">
        <v>3600.2809999999999</v>
      </c>
      <c r="L51" s="2">
        <v>498</v>
      </c>
      <c r="M51" s="10">
        <v>40.163052208835303</v>
      </c>
      <c r="N51" s="1">
        <v>3600.8440000000001</v>
      </c>
      <c r="O51" s="14">
        <v>430</v>
      </c>
      <c r="P51" s="8">
        <v>4.3913953488372002</v>
      </c>
      <c r="Q51" s="1">
        <v>3612.3910000000001</v>
      </c>
    </row>
    <row r="52" spans="1:17" x14ac:dyDescent="0.4">
      <c r="A52" s="1" t="s">
        <v>21</v>
      </c>
      <c r="B52" s="1" t="s">
        <v>0</v>
      </c>
      <c r="C52" s="1">
        <v>45</v>
      </c>
      <c r="D52" s="1" t="s">
        <v>1</v>
      </c>
      <c r="E52" s="1">
        <v>16</v>
      </c>
      <c r="F52" s="2">
        <v>450</v>
      </c>
      <c r="G52" s="11">
        <v>75.3333333333333</v>
      </c>
      <c r="H52" s="1">
        <v>3600.328</v>
      </c>
      <c r="I52" s="3">
        <v>439</v>
      </c>
      <c r="J52" s="10">
        <v>30.201594533029599</v>
      </c>
      <c r="K52" s="1">
        <v>3600.422</v>
      </c>
      <c r="L52" s="2">
        <v>541</v>
      </c>
      <c r="M52" s="10">
        <v>46.741774491682101</v>
      </c>
      <c r="N52" s="1">
        <v>3601.297</v>
      </c>
      <c r="O52" s="14">
        <v>416</v>
      </c>
      <c r="P52" s="8">
        <v>4.8538461538461597</v>
      </c>
      <c r="Q52" s="1">
        <v>3608.4380000000001</v>
      </c>
    </row>
    <row r="53" spans="1:17" x14ac:dyDescent="0.4">
      <c r="A53" s="1" t="s">
        <v>22</v>
      </c>
      <c r="B53" s="1" t="s">
        <v>0</v>
      </c>
      <c r="C53" s="1">
        <v>45</v>
      </c>
      <c r="D53" s="1" t="s">
        <v>1</v>
      </c>
      <c r="E53" s="1">
        <v>18</v>
      </c>
      <c r="F53" s="2">
        <v>404</v>
      </c>
      <c r="G53" s="11">
        <v>71.039603960395993</v>
      </c>
      <c r="H53" s="1">
        <v>3600.328</v>
      </c>
      <c r="I53" s="3">
        <v>417</v>
      </c>
      <c r="J53" s="10">
        <v>37.667625899280601</v>
      </c>
      <c r="K53" s="1">
        <v>3600.4690000000001</v>
      </c>
      <c r="L53" s="2">
        <v>676</v>
      </c>
      <c r="M53" s="10">
        <v>63.292603550295901</v>
      </c>
      <c r="N53" s="1">
        <v>3601.3589999999999</v>
      </c>
      <c r="O53" s="14">
        <v>374</v>
      </c>
      <c r="P53" s="8">
        <v>6.5954545454545404</v>
      </c>
      <c r="Q53" s="1">
        <v>3604.8119999999999</v>
      </c>
    </row>
    <row r="54" spans="1:17" x14ac:dyDescent="0.4">
      <c r="A54" s="1" t="s">
        <v>23</v>
      </c>
      <c r="B54" s="1" t="s">
        <v>0</v>
      </c>
      <c r="C54" s="1">
        <v>45</v>
      </c>
      <c r="D54" s="1" t="s">
        <v>1</v>
      </c>
      <c r="E54" s="1">
        <v>20</v>
      </c>
      <c r="F54" s="2">
        <v>354</v>
      </c>
      <c r="G54" s="11">
        <v>67.514124293785301</v>
      </c>
      <c r="H54" s="1">
        <v>3600.3119999999999</v>
      </c>
      <c r="I54" s="3">
        <v>346</v>
      </c>
      <c r="J54" s="10">
        <v>37.929768786127198</v>
      </c>
      <c r="K54" s="1">
        <v>3600.453</v>
      </c>
      <c r="L54" s="2">
        <v>584</v>
      </c>
      <c r="M54" s="10">
        <v>64.384075342465707</v>
      </c>
      <c r="N54" s="1">
        <v>3602.1880000000001</v>
      </c>
      <c r="O54" s="14">
        <v>316</v>
      </c>
      <c r="P54" s="8">
        <v>6.6661392405063298</v>
      </c>
      <c r="Q54" s="1">
        <v>3604.5309999999999</v>
      </c>
    </row>
    <row r="55" spans="1:17" x14ac:dyDescent="0.4">
      <c r="A55" s="1" t="s">
        <v>24</v>
      </c>
      <c r="B55" s="1" t="s">
        <v>0</v>
      </c>
      <c r="C55" s="1">
        <v>45</v>
      </c>
      <c r="D55" s="1" t="s">
        <v>1</v>
      </c>
      <c r="E55" s="1">
        <v>22</v>
      </c>
      <c r="F55" s="2">
        <v>331</v>
      </c>
      <c r="G55" s="11">
        <v>64.954682779456206</v>
      </c>
      <c r="H55" s="1">
        <v>3600.422</v>
      </c>
      <c r="I55" s="3">
        <v>332</v>
      </c>
      <c r="J55" s="10">
        <v>38.941566265060203</v>
      </c>
      <c r="K55" s="1">
        <v>3600.422</v>
      </c>
      <c r="L55" s="2">
        <v>543</v>
      </c>
      <c r="M55" s="10">
        <v>63.275138121547002</v>
      </c>
      <c r="N55" s="1">
        <v>3601.7339999999999</v>
      </c>
      <c r="O55" s="14">
        <v>298</v>
      </c>
      <c r="P55" s="8">
        <v>6.1332214765100597</v>
      </c>
      <c r="Q55" s="1">
        <v>3615.3589999999999</v>
      </c>
    </row>
    <row r="56" spans="1:17" x14ac:dyDescent="0.4">
      <c r="A56" s="1" t="s">
        <v>25</v>
      </c>
      <c r="B56" s="1" t="s">
        <v>0</v>
      </c>
      <c r="C56" s="1">
        <v>50</v>
      </c>
      <c r="D56" s="1" t="s">
        <v>1</v>
      </c>
      <c r="E56" s="1">
        <v>14</v>
      </c>
      <c r="F56" s="2">
        <v>593</v>
      </c>
      <c r="G56" s="11">
        <v>79.426644182124804</v>
      </c>
      <c r="H56" s="1">
        <v>3600.4059999999999</v>
      </c>
      <c r="I56" s="3">
        <v>582</v>
      </c>
      <c r="J56" s="10">
        <v>26.824054982817898</v>
      </c>
      <c r="K56" s="1">
        <v>3600.5</v>
      </c>
      <c r="L56" s="2">
        <v>633</v>
      </c>
      <c r="M56" s="10">
        <v>39.695892575039501</v>
      </c>
      <c r="N56" s="1">
        <v>3601.9839999999999</v>
      </c>
      <c r="O56" s="14">
        <v>549</v>
      </c>
      <c r="P56" s="8">
        <v>3.3275045537340699</v>
      </c>
      <c r="Q56" s="1">
        <v>3613.5160000000001</v>
      </c>
    </row>
    <row r="57" spans="1:17" x14ac:dyDescent="0.4">
      <c r="A57" s="1" t="s">
        <v>26</v>
      </c>
      <c r="B57" s="1" t="s">
        <v>0</v>
      </c>
      <c r="C57" s="1">
        <v>50</v>
      </c>
      <c r="D57" s="1" t="s">
        <v>1</v>
      </c>
      <c r="E57" s="1">
        <v>16</v>
      </c>
      <c r="F57" s="2">
        <v>520</v>
      </c>
      <c r="G57" s="11">
        <v>75.961538461538495</v>
      </c>
      <c r="H57" s="1">
        <v>3600.3440000000001</v>
      </c>
      <c r="I57" s="3">
        <v>524</v>
      </c>
      <c r="J57" s="10">
        <v>32.367175572519102</v>
      </c>
      <c r="K57" s="1">
        <v>3600.5</v>
      </c>
      <c r="L57" s="2">
        <v>571</v>
      </c>
      <c r="M57" s="10">
        <v>41.948161120840602</v>
      </c>
      <c r="N57" s="1">
        <v>3602.2339999999999</v>
      </c>
      <c r="O57" s="14">
        <v>478</v>
      </c>
      <c r="P57" s="8">
        <v>3.9035564853556499</v>
      </c>
      <c r="Q57" s="1">
        <v>3608.453</v>
      </c>
    </row>
    <row r="58" spans="1:17" x14ac:dyDescent="0.4">
      <c r="A58" s="1" t="s">
        <v>27</v>
      </c>
      <c r="B58" s="1" t="s">
        <v>0</v>
      </c>
      <c r="C58" s="1">
        <v>50</v>
      </c>
      <c r="D58" s="1" t="s">
        <v>1</v>
      </c>
      <c r="E58" s="1">
        <v>18</v>
      </c>
      <c r="F58" s="2">
        <v>449</v>
      </c>
      <c r="G58" s="11">
        <v>76.614699331848598</v>
      </c>
      <c r="H58" s="1">
        <v>3600.3440000000001</v>
      </c>
      <c r="I58" s="3">
        <v>425</v>
      </c>
      <c r="J58" s="10">
        <v>31.253411764705898</v>
      </c>
      <c r="K58" s="1">
        <v>3600.578</v>
      </c>
      <c r="L58" s="46" t="s">
        <v>81</v>
      </c>
      <c r="M58" s="36"/>
      <c r="O58" s="14">
        <v>398</v>
      </c>
      <c r="P58" s="8">
        <v>4.5618090452261297</v>
      </c>
      <c r="Q58" s="1">
        <v>3608.5</v>
      </c>
    </row>
    <row r="59" spans="1:17" x14ac:dyDescent="0.4">
      <c r="A59" s="1" t="s">
        <v>28</v>
      </c>
      <c r="B59" s="1" t="s">
        <v>0</v>
      </c>
      <c r="C59" s="1">
        <v>50</v>
      </c>
      <c r="D59" s="1" t="s">
        <v>1</v>
      </c>
      <c r="E59" s="1">
        <v>20</v>
      </c>
      <c r="F59" s="2">
        <v>383</v>
      </c>
      <c r="G59" s="11">
        <v>70.757180156657995</v>
      </c>
      <c r="H59" s="1">
        <v>3600.4059999999999</v>
      </c>
      <c r="I59" s="3">
        <v>389</v>
      </c>
      <c r="J59" s="10">
        <v>37.839331619537298</v>
      </c>
      <c r="K59" s="1">
        <v>3600.578</v>
      </c>
      <c r="L59" s="46" t="s">
        <v>81</v>
      </c>
      <c r="M59" s="36"/>
      <c r="O59" s="14">
        <v>351</v>
      </c>
      <c r="P59" s="8">
        <v>6.3119658119658002</v>
      </c>
      <c r="Q59" s="1">
        <v>3605.25</v>
      </c>
    </row>
    <row r="60" spans="1:17" x14ac:dyDescent="0.4">
      <c r="A60" s="1" t="s">
        <v>29</v>
      </c>
      <c r="B60" s="1" t="s">
        <v>0</v>
      </c>
      <c r="C60" s="1">
        <v>50</v>
      </c>
      <c r="D60" s="1" t="s">
        <v>1</v>
      </c>
      <c r="E60" s="1">
        <v>22</v>
      </c>
      <c r="F60" s="2">
        <v>367</v>
      </c>
      <c r="G60" s="11">
        <v>67.302452316076298</v>
      </c>
      <c r="H60" s="1">
        <v>3600.4839999999999</v>
      </c>
      <c r="I60" s="3">
        <v>377</v>
      </c>
      <c r="J60" s="10">
        <v>43.724137931034498</v>
      </c>
      <c r="K60" s="1">
        <v>3600.5619999999999</v>
      </c>
      <c r="L60" s="46" t="s">
        <v>81</v>
      </c>
      <c r="M60" s="36"/>
      <c r="O60" s="14">
        <v>323</v>
      </c>
      <c r="P60" s="8">
        <v>6.4947368421052696</v>
      </c>
      <c r="Q60" s="1">
        <v>3637.1559999999999</v>
      </c>
    </row>
    <row r="61" spans="1:17" x14ac:dyDescent="0.4">
      <c r="A61" s="1" t="s">
        <v>82</v>
      </c>
      <c r="B61" s="1" t="s">
        <v>0</v>
      </c>
      <c r="C61" s="1">
        <v>55</v>
      </c>
      <c r="D61" s="1" t="s">
        <v>1</v>
      </c>
      <c r="E61" s="1">
        <v>14</v>
      </c>
      <c r="F61" s="2">
        <v>670</v>
      </c>
      <c r="G61" s="11">
        <v>81.492537313432805</v>
      </c>
      <c r="H61" s="1">
        <v>3600.625</v>
      </c>
      <c r="I61" s="3">
        <v>622</v>
      </c>
      <c r="J61" s="10">
        <v>29.940032154340798</v>
      </c>
      <c r="K61" s="1">
        <v>3600.4839999999999</v>
      </c>
      <c r="L61" s="46" t="s">
        <v>81</v>
      </c>
      <c r="M61" s="36"/>
      <c r="O61" s="14">
        <v>591</v>
      </c>
      <c r="P61" s="8">
        <v>3.5426395939086301</v>
      </c>
      <c r="Q61" s="1">
        <v>3644.2339999999999</v>
      </c>
    </row>
    <row r="62" spans="1:17" x14ac:dyDescent="0.4">
      <c r="A62" s="1" t="s">
        <v>83</v>
      </c>
      <c r="B62" s="1" t="s">
        <v>0</v>
      </c>
      <c r="C62" s="1">
        <v>55</v>
      </c>
      <c r="D62" s="1" t="s">
        <v>1</v>
      </c>
      <c r="E62" s="1">
        <v>16</v>
      </c>
      <c r="F62" s="2">
        <v>565</v>
      </c>
      <c r="G62" s="11">
        <v>77.522123893805301</v>
      </c>
      <c r="H62" s="1">
        <v>3600.25</v>
      </c>
      <c r="I62" s="3">
        <v>568</v>
      </c>
      <c r="J62" s="10">
        <v>33.597711267605597</v>
      </c>
      <c r="K62" s="1">
        <v>3600.5309999999999</v>
      </c>
      <c r="L62" s="2">
        <v>968</v>
      </c>
      <c r="M62" s="10">
        <v>63.673863636363599</v>
      </c>
      <c r="N62" s="1">
        <v>3601.1410000000001</v>
      </c>
      <c r="O62" s="14">
        <v>508</v>
      </c>
      <c r="P62" s="8">
        <v>4.3005905511810996</v>
      </c>
      <c r="Q62" s="1">
        <v>3609.4839999999999</v>
      </c>
    </row>
    <row r="63" spans="1:17" x14ac:dyDescent="0.4">
      <c r="A63" s="1" t="s">
        <v>84</v>
      </c>
      <c r="B63" s="1" t="s">
        <v>0</v>
      </c>
      <c r="C63" s="1">
        <v>55</v>
      </c>
      <c r="D63" s="1" t="s">
        <v>1</v>
      </c>
      <c r="E63" s="1">
        <v>18</v>
      </c>
      <c r="F63" s="2">
        <v>478</v>
      </c>
      <c r="G63" s="11">
        <v>77.615062761506294</v>
      </c>
      <c r="H63" s="1">
        <v>3600.625</v>
      </c>
      <c r="I63" s="3">
        <v>459</v>
      </c>
      <c r="J63" s="10">
        <v>33.834858387799599</v>
      </c>
      <c r="K63" s="1">
        <v>3600.453</v>
      </c>
      <c r="L63" s="2">
        <v>682</v>
      </c>
      <c r="M63" s="10">
        <v>57.156158357771297</v>
      </c>
      <c r="N63" s="1">
        <v>3603.547</v>
      </c>
      <c r="O63" s="14">
        <v>426</v>
      </c>
      <c r="P63" s="8">
        <v>5.7105633802816902</v>
      </c>
      <c r="Q63" s="1">
        <v>3606.828</v>
      </c>
    </row>
    <row r="64" spans="1:17" x14ac:dyDescent="0.4">
      <c r="A64" s="1" t="s">
        <v>85</v>
      </c>
      <c r="B64" s="1" t="s">
        <v>0</v>
      </c>
      <c r="C64" s="1">
        <v>55</v>
      </c>
      <c r="D64" s="1" t="s">
        <v>1</v>
      </c>
      <c r="E64" s="1">
        <v>20</v>
      </c>
      <c r="F64" s="2">
        <v>426</v>
      </c>
      <c r="G64" s="11">
        <v>69.248826291079794</v>
      </c>
      <c r="H64" s="1">
        <v>3600.5619999999999</v>
      </c>
      <c r="I64" s="3">
        <v>432</v>
      </c>
      <c r="J64" s="10">
        <v>36.845370370370397</v>
      </c>
      <c r="K64" s="1">
        <v>3600.703</v>
      </c>
      <c r="L64" s="46" t="s">
        <v>81</v>
      </c>
      <c r="M64" s="36"/>
      <c r="O64" s="14">
        <v>388</v>
      </c>
      <c r="P64" s="8">
        <v>6.4340206185567004</v>
      </c>
      <c r="Q64" s="1">
        <v>3660.547</v>
      </c>
    </row>
    <row r="65" spans="1:17" x14ac:dyDescent="0.4">
      <c r="A65" s="1" t="s">
        <v>86</v>
      </c>
      <c r="B65" s="1" t="s">
        <v>0</v>
      </c>
      <c r="C65" s="1">
        <v>55</v>
      </c>
      <c r="D65" s="1" t="s">
        <v>1</v>
      </c>
      <c r="E65" s="1">
        <v>22</v>
      </c>
      <c r="F65" s="2">
        <v>384</v>
      </c>
      <c r="G65" s="11">
        <v>69.0104166666667</v>
      </c>
      <c r="H65" s="1">
        <v>3600.6089999999999</v>
      </c>
      <c r="I65" s="3">
        <v>410</v>
      </c>
      <c r="J65" s="10">
        <v>42.760731707317099</v>
      </c>
      <c r="K65" s="1">
        <v>3600.6559999999999</v>
      </c>
      <c r="L65" s="46" t="s">
        <v>81</v>
      </c>
      <c r="M65" s="36"/>
      <c r="O65" s="14">
        <v>357</v>
      </c>
      <c r="P65" s="8">
        <v>6.7991596638655496</v>
      </c>
      <c r="Q65" s="1">
        <v>3622.6559999999999</v>
      </c>
    </row>
    <row r="66" spans="1:17" x14ac:dyDescent="0.4">
      <c r="A66" s="1" t="s">
        <v>87</v>
      </c>
      <c r="B66" s="1" t="s">
        <v>0</v>
      </c>
      <c r="C66" s="1">
        <v>60</v>
      </c>
      <c r="D66" s="1" t="s">
        <v>1</v>
      </c>
      <c r="E66" s="1">
        <v>14</v>
      </c>
      <c r="F66" s="2">
        <v>660</v>
      </c>
      <c r="G66" s="11">
        <v>81.515151515151501</v>
      </c>
      <c r="H66" s="1">
        <v>3600.4839999999999</v>
      </c>
      <c r="I66" s="3">
        <v>653</v>
      </c>
      <c r="J66" s="10">
        <v>31.2647779479326</v>
      </c>
      <c r="K66" s="1">
        <v>3600.4380000000001</v>
      </c>
      <c r="L66" s="46" t="s">
        <v>81</v>
      </c>
      <c r="M66" s="36"/>
      <c r="O66" s="14">
        <v>613</v>
      </c>
      <c r="P66" s="8">
        <v>4.2880913539967302</v>
      </c>
      <c r="Q66" s="1">
        <v>3672.953</v>
      </c>
    </row>
    <row r="67" spans="1:17" x14ac:dyDescent="0.4">
      <c r="A67" s="1" t="s">
        <v>88</v>
      </c>
      <c r="B67" s="1" t="s">
        <v>0</v>
      </c>
      <c r="C67" s="1">
        <v>60</v>
      </c>
      <c r="D67" s="1" t="s">
        <v>1</v>
      </c>
      <c r="E67" s="1">
        <v>16</v>
      </c>
      <c r="F67" s="2">
        <v>646</v>
      </c>
      <c r="G67" s="11">
        <v>81.114551083591294</v>
      </c>
      <c r="H67" s="1">
        <v>3600.547</v>
      </c>
      <c r="I67" s="3">
        <v>631</v>
      </c>
      <c r="J67" s="10">
        <v>31.041996830427902</v>
      </c>
      <c r="K67" s="1">
        <v>3600.6089999999999</v>
      </c>
      <c r="L67" s="46" t="s">
        <v>81</v>
      </c>
      <c r="M67" s="36"/>
      <c r="O67" s="14">
        <v>591</v>
      </c>
      <c r="P67" s="8">
        <v>2.9648054145516198</v>
      </c>
      <c r="Q67" s="1">
        <v>3629.3119999999999</v>
      </c>
    </row>
    <row r="68" spans="1:17" x14ac:dyDescent="0.4">
      <c r="A68" s="1" t="s">
        <v>89</v>
      </c>
      <c r="B68" s="1" t="s">
        <v>0</v>
      </c>
      <c r="C68" s="1">
        <v>60</v>
      </c>
      <c r="D68" s="1" t="s">
        <v>1</v>
      </c>
      <c r="E68" s="1">
        <v>18</v>
      </c>
      <c r="F68" s="2">
        <v>458</v>
      </c>
      <c r="G68" s="11">
        <v>73.144104803493406</v>
      </c>
      <c r="H68" s="1">
        <v>3600.6410000000001</v>
      </c>
      <c r="I68" s="3">
        <v>466</v>
      </c>
      <c r="J68" s="10">
        <v>39.934978540772498</v>
      </c>
      <c r="K68" s="1">
        <v>3600.797</v>
      </c>
      <c r="L68" s="46" t="s">
        <v>81</v>
      </c>
      <c r="M68" s="36"/>
      <c r="O68" s="14">
        <v>408</v>
      </c>
      <c r="P68" s="8">
        <v>6.8083333333333398</v>
      </c>
      <c r="Q68" s="1">
        <v>3612.672</v>
      </c>
    </row>
    <row r="69" spans="1:17" x14ac:dyDescent="0.4">
      <c r="A69" s="1" t="s">
        <v>90</v>
      </c>
      <c r="B69" s="1" t="s">
        <v>0</v>
      </c>
      <c r="C69" s="1">
        <v>60</v>
      </c>
      <c r="D69" s="1" t="s">
        <v>1</v>
      </c>
      <c r="E69" s="1">
        <v>20</v>
      </c>
      <c r="F69" s="2">
        <v>456</v>
      </c>
      <c r="G69" s="11">
        <v>70.175438596491205</v>
      </c>
      <c r="H69" s="1">
        <v>3600.6880000000001</v>
      </c>
      <c r="I69" s="3">
        <v>443</v>
      </c>
      <c r="J69" s="10">
        <v>33.914446952595902</v>
      </c>
      <c r="K69" s="1">
        <v>3600.6559999999999</v>
      </c>
      <c r="L69" s="46" t="s">
        <v>81</v>
      </c>
      <c r="M69" s="36"/>
      <c r="O69" s="14">
        <v>417</v>
      </c>
      <c r="P69" s="8">
        <v>6.5707434052757696</v>
      </c>
      <c r="Q69" s="1">
        <v>3606.8910000000001</v>
      </c>
    </row>
    <row r="70" spans="1:17" x14ac:dyDescent="0.4">
      <c r="A70" s="1" t="s">
        <v>91</v>
      </c>
      <c r="B70" s="1" t="s">
        <v>0</v>
      </c>
      <c r="C70" s="1">
        <v>60</v>
      </c>
      <c r="D70" s="1" t="s">
        <v>1</v>
      </c>
      <c r="E70" s="1">
        <v>22</v>
      </c>
      <c r="F70" s="2">
        <v>523</v>
      </c>
      <c r="G70" s="11">
        <v>78.202676864244694</v>
      </c>
      <c r="H70" s="1">
        <v>3600.703</v>
      </c>
      <c r="I70" s="3">
        <v>548</v>
      </c>
      <c r="J70" s="10">
        <v>44.2795620437956</v>
      </c>
      <c r="K70" s="1">
        <v>3600.7339999999999</v>
      </c>
      <c r="L70" s="46" t="s">
        <v>81</v>
      </c>
      <c r="M70" s="36"/>
      <c r="O70" s="14">
        <v>428</v>
      </c>
      <c r="P70" s="8">
        <v>5.2887850467289796</v>
      </c>
      <c r="Q70" s="1">
        <v>3606.7339999999999</v>
      </c>
    </row>
    <row r="71" spans="1:17" x14ac:dyDescent="0.4">
      <c r="B71" s="35" t="s">
        <v>35</v>
      </c>
      <c r="C71" s="36"/>
      <c r="D71" s="36"/>
      <c r="E71" s="45"/>
      <c r="F71" s="16">
        <f>AVERAGE(F36:F70)</f>
        <v>408</v>
      </c>
      <c r="G71" s="11">
        <f t="shared" ref="G71" si="1">AVERAGE(G36:G70)</f>
        <v>68.464448232015997</v>
      </c>
      <c r="H71" s="17">
        <f>AVERAGE(H35:H70)</f>
        <v>3600.3744857142901</v>
      </c>
      <c r="I71" s="11">
        <f t="shared" ref="I71:J71" si="2">AVERAGE(I36:I70)</f>
        <v>404.857142857143</v>
      </c>
      <c r="J71" s="11">
        <f t="shared" si="2"/>
        <v>33.9429408174869</v>
      </c>
      <c r="K71" s="1">
        <f>AVERAGE(K35:K70)</f>
        <v>3600.4517999999998</v>
      </c>
      <c r="L71" s="16">
        <f t="shared" ref="L71:M71" si="3">AVERAGE(L36:L70)</f>
        <v>448.04166666666703</v>
      </c>
      <c r="M71" s="11">
        <f t="shared" si="3"/>
        <v>46.181859182145097</v>
      </c>
      <c r="N71" s="1">
        <f>AVERAGE(N35:N70)</f>
        <v>3601.2337499999999</v>
      </c>
      <c r="O71" s="6">
        <f t="shared" ref="O71:P71" si="4">AVERAGE(O36:O70)</f>
        <v>370.6</v>
      </c>
      <c r="P71" s="6">
        <f t="shared" si="4"/>
        <v>5.7651088932211803</v>
      </c>
      <c r="Q71" s="1">
        <f>AVERAGE(Q35:Q70)</f>
        <v>3615.6187142857102</v>
      </c>
    </row>
    <row r="74" spans="1:17" x14ac:dyDescent="0.4">
      <c r="A74" s="43" t="s">
        <v>92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4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</row>
    <row r="76" spans="1:17" x14ac:dyDescent="0.4">
      <c r="F76" s="46" t="s">
        <v>77</v>
      </c>
      <c r="G76" s="36"/>
      <c r="H76" s="45"/>
      <c r="I76" s="46" t="s">
        <v>78</v>
      </c>
      <c r="J76" s="36"/>
      <c r="K76" s="45"/>
      <c r="L76" s="44" t="s">
        <v>79</v>
      </c>
      <c r="M76" s="36"/>
      <c r="N76" s="45"/>
      <c r="O76" s="44" t="s">
        <v>39</v>
      </c>
      <c r="P76" s="36"/>
      <c r="Q76" s="45"/>
    </row>
    <row r="77" spans="1:17" x14ac:dyDescent="0.4">
      <c r="F77" s="2" t="s">
        <v>41</v>
      </c>
      <c r="G77" s="5" t="s">
        <v>42</v>
      </c>
      <c r="H77" s="4" t="s">
        <v>45</v>
      </c>
      <c r="I77" s="2" t="s">
        <v>41</v>
      </c>
      <c r="J77" s="5" t="s">
        <v>42</v>
      </c>
      <c r="K77" s="4" t="s">
        <v>45</v>
      </c>
      <c r="L77" s="2" t="s">
        <v>41</v>
      </c>
      <c r="M77" s="5" t="s">
        <v>42</v>
      </c>
      <c r="N77" s="4" t="s">
        <v>45</v>
      </c>
      <c r="O77" s="2" t="s">
        <v>41</v>
      </c>
      <c r="P77" s="5" t="s">
        <v>42</v>
      </c>
      <c r="Q77" s="4" t="s">
        <v>45</v>
      </c>
    </row>
    <row r="78" spans="1:17" x14ac:dyDescent="0.4">
      <c r="A78" s="1" t="s">
        <v>5</v>
      </c>
      <c r="B78" s="1" t="s">
        <v>0</v>
      </c>
      <c r="C78" s="1">
        <v>65</v>
      </c>
      <c r="D78" s="1" t="s">
        <v>1</v>
      </c>
      <c r="E78" s="1">
        <v>24</v>
      </c>
      <c r="F78" s="1">
        <v>803</v>
      </c>
      <c r="G78" s="1">
        <v>84.806973848069703</v>
      </c>
      <c r="H78" s="1">
        <v>3600.875</v>
      </c>
      <c r="O78" s="1">
        <v>400</v>
      </c>
      <c r="P78" s="1">
        <v>6.9370000000000003</v>
      </c>
      <c r="Q78" s="1">
        <v>3606.328</v>
      </c>
    </row>
    <row r="79" spans="1:17" x14ac:dyDescent="0.4">
      <c r="A79" s="1" t="s">
        <v>6</v>
      </c>
      <c r="B79" s="1" t="s">
        <v>0</v>
      </c>
      <c r="C79" s="1">
        <v>65</v>
      </c>
      <c r="D79" s="1" t="s">
        <v>1</v>
      </c>
      <c r="E79" s="1">
        <v>26</v>
      </c>
      <c r="F79" s="1">
        <v>586</v>
      </c>
      <c r="G79" s="1">
        <v>81.228668941979507</v>
      </c>
      <c r="H79" s="1">
        <v>3600.6880000000001</v>
      </c>
      <c r="I79" s="1">
        <v>465</v>
      </c>
      <c r="J79" s="1">
        <v>50.657419354838702</v>
      </c>
      <c r="K79" s="1">
        <v>3600.7190000000001</v>
      </c>
      <c r="O79" s="1">
        <v>372</v>
      </c>
      <c r="P79" s="1">
        <v>6.6233870967742003</v>
      </c>
      <c r="Q79" s="1">
        <v>3606.3119999999999</v>
      </c>
    </row>
    <row r="80" spans="1:17" x14ac:dyDescent="0.4">
      <c r="A80" s="1" t="s">
        <v>7</v>
      </c>
      <c r="B80" s="1" t="s">
        <v>0</v>
      </c>
      <c r="C80" s="1">
        <v>65</v>
      </c>
      <c r="D80" s="1" t="s">
        <v>1</v>
      </c>
      <c r="E80" s="1">
        <v>28</v>
      </c>
      <c r="F80" s="1">
        <v>559</v>
      </c>
      <c r="G80" s="1">
        <v>78.711985688729897</v>
      </c>
      <c r="H80" s="1">
        <v>3600.9059999999999</v>
      </c>
      <c r="O80" s="1">
        <v>361</v>
      </c>
      <c r="P80" s="1">
        <v>8.2509695290858698</v>
      </c>
      <c r="Q80" s="1">
        <v>3648.547</v>
      </c>
    </row>
    <row r="81" spans="1:17" x14ac:dyDescent="0.4">
      <c r="A81" s="1" t="s">
        <v>8</v>
      </c>
      <c r="B81" s="1" t="s">
        <v>0</v>
      </c>
      <c r="C81" s="1">
        <v>65</v>
      </c>
      <c r="D81" s="1" t="s">
        <v>1</v>
      </c>
      <c r="E81" s="1">
        <v>30</v>
      </c>
      <c r="F81" s="1">
        <v>450</v>
      </c>
      <c r="G81" s="1">
        <v>74</v>
      </c>
      <c r="H81" s="1">
        <v>3600.828</v>
      </c>
      <c r="O81" s="1">
        <v>313</v>
      </c>
      <c r="P81" s="1">
        <v>9.7632587859425009</v>
      </c>
      <c r="Q81" s="1">
        <v>3608.828</v>
      </c>
    </row>
    <row r="82" spans="1:17" x14ac:dyDescent="0.4">
      <c r="A82" s="1" t="s">
        <v>9</v>
      </c>
      <c r="B82" s="1" t="s">
        <v>0</v>
      </c>
      <c r="C82" s="1">
        <v>65</v>
      </c>
      <c r="D82" s="1" t="s">
        <v>1</v>
      </c>
      <c r="E82" s="1">
        <v>32</v>
      </c>
      <c r="O82" s="1">
        <v>298</v>
      </c>
      <c r="P82" s="1">
        <v>7.8848993288590696</v>
      </c>
      <c r="Q82" s="1">
        <v>3656.6089999999999</v>
      </c>
    </row>
    <row r="83" spans="1:17" x14ac:dyDescent="0.4">
      <c r="A83" s="1" t="s">
        <v>10</v>
      </c>
      <c r="B83" s="1" t="s">
        <v>0</v>
      </c>
      <c r="C83" s="1">
        <v>70</v>
      </c>
      <c r="D83" s="1" t="s">
        <v>1</v>
      </c>
      <c r="E83" s="1">
        <v>24</v>
      </c>
      <c r="I83" s="1">
        <v>514</v>
      </c>
      <c r="J83" s="1">
        <v>51.614591439688702</v>
      </c>
      <c r="K83" s="1">
        <v>3600.8589999999999</v>
      </c>
      <c r="O83" s="1">
        <v>413</v>
      </c>
      <c r="P83" s="1">
        <v>6.7978208232445496</v>
      </c>
      <c r="Q83" s="1">
        <v>3638.922</v>
      </c>
    </row>
    <row r="84" spans="1:17" x14ac:dyDescent="0.4">
      <c r="A84" s="1" t="s">
        <v>11</v>
      </c>
      <c r="B84" s="1" t="s">
        <v>0</v>
      </c>
      <c r="C84" s="1">
        <v>70</v>
      </c>
      <c r="D84" s="1" t="s">
        <v>1</v>
      </c>
      <c r="E84" s="1">
        <v>26</v>
      </c>
      <c r="O84" s="1">
        <v>399</v>
      </c>
      <c r="P84" s="1">
        <v>7.1689223057644096</v>
      </c>
      <c r="Q84" s="1">
        <v>3647.047</v>
      </c>
    </row>
    <row r="85" spans="1:17" x14ac:dyDescent="0.4">
      <c r="A85" s="1" t="s">
        <v>12</v>
      </c>
      <c r="B85" s="1" t="s">
        <v>0</v>
      </c>
      <c r="C85" s="1">
        <v>70</v>
      </c>
      <c r="D85" s="1" t="s">
        <v>1</v>
      </c>
      <c r="E85" s="1">
        <v>28</v>
      </c>
      <c r="F85" s="1">
        <v>540</v>
      </c>
      <c r="G85" s="1">
        <v>78.518518518518505</v>
      </c>
      <c r="H85" s="1">
        <v>3600.7660000000001</v>
      </c>
      <c r="O85" s="1">
        <v>344</v>
      </c>
      <c r="P85" s="1">
        <v>9.3055232558139593</v>
      </c>
      <c r="Q85" s="1">
        <v>3636.7339999999999</v>
      </c>
    </row>
    <row r="86" spans="1:17" x14ac:dyDescent="0.4">
      <c r="A86" s="1" t="s">
        <v>13</v>
      </c>
      <c r="B86" s="1" t="s">
        <v>0</v>
      </c>
      <c r="C86" s="1">
        <v>70</v>
      </c>
      <c r="D86" s="1" t="s">
        <v>1</v>
      </c>
      <c r="E86" s="1">
        <v>30</v>
      </c>
      <c r="F86" s="1">
        <v>567</v>
      </c>
      <c r="G86" s="1">
        <v>79.541446208112902</v>
      </c>
      <c r="H86" s="1">
        <v>3601.172</v>
      </c>
      <c r="O86" s="1">
        <v>337</v>
      </c>
      <c r="P86" s="1">
        <v>7.3035608308605404</v>
      </c>
      <c r="Q86" s="1">
        <v>3641.0940000000001</v>
      </c>
    </row>
    <row r="87" spans="1:17" x14ac:dyDescent="0.4">
      <c r="A87" s="1" t="s">
        <v>14</v>
      </c>
      <c r="B87" s="1" t="s">
        <v>0</v>
      </c>
      <c r="C87" s="1">
        <v>70</v>
      </c>
      <c r="D87" s="1" t="s">
        <v>1</v>
      </c>
      <c r="E87" s="1">
        <v>32</v>
      </c>
      <c r="F87" s="1">
        <v>728</v>
      </c>
      <c r="G87" s="1">
        <v>81.730769230769198</v>
      </c>
      <c r="H87" s="1">
        <v>3601.1410000000001</v>
      </c>
      <c r="O87" s="1">
        <v>305</v>
      </c>
      <c r="P87" s="1">
        <v>8.82950819672131</v>
      </c>
      <c r="Q87" s="1">
        <v>3607.3910000000001</v>
      </c>
    </row>
    <row r="88" spans="1:17" x14ac:dyDescent="0.4">
      <c r="A88" s="1" t="s">
        <v>15</v>
      </c>
      <c r="B88" s="1" t="s">
        <v>0</v>
      </c>
      <c r="C88" s="1">
        <v>75</v>
      </c>
      <c r="D88" s="1" t="s">
        <v>1</v>
      </c>
      <c r="E88" s="1">
        <v>24</v>
      </c>
      <c r="F88" s="1">
        <v>601</v>
      </c>
      <c r="G88" s="1">
        <v>80.532445923460898</v>
      </c>
      <c r="H88" s="1">
        <v>3601.078</v>
      </c>
      <c r="O88" s="1">
        <v>467</v>
      </c>
      <c r="P88" s="1">
        <v>6.0471092077087798</v>
      </c>
      <c r="Q88" s="1">
        <v>3637.4059999999999</v>
      </c>
    </row>
    <row r="89" spans="1:17" x14ac:dyDescent="0.4">
      <c r="A89" s="1" t="s">
        <v>16</v>
      </c>
      <c r="B89" s="1" t="s">
        <v>0</v>
      </c>
      <c r="C89" s="1">
        <v>75</v>
      </c>
      <c r="D89" s="1" t="s">
        <v>1</v>
      </c>
      <c r="E89" s="1">
        <v>26</v>
      </c>
      <c r="F89" s="1">
        <v>574</v>
      </c>
      <c r="G89" s="1">
        <v>80.313588850174199</v>
      </c>
      <c r="H89" s="1">
        <v>3600.8910000000001</v>
      </c>
      <c r="O89" s="1">
        <v>399</v>
      </c>
      <c r="P89" s="1">
        <v>6.9348370927318301</v>
      </c>
      <c r="Q89" s="1">
        <v>3640.7190000000001</v>
      </c>
    </row>
    <row r="90" spans="1:17" x14ac:dyDescent="0.4">
      <c r="A90" s="1" t="s">
        <v>17</v>
      </c>
      <c r="B90" s="1" t="s">
        <v>0</v>
      </c>
      <c r="C90" s="1">
        <v>75</v>
      </c>
      <c r="D90" s="1" t="s">
        <v>1</v>
      </c>
      <c r="E90" s="1">
        <v>28</v>
      </c>
      <c r="O90" s="1">
        <v>394</v>
      </c>
      <c r="P90" s="1">
        <v>7.3967005076142103</v>
      </c>
      <c r="Q90" s="1">
        <v>3624.3119999999999</v>
      </c>
    </row>
    <row r="91" spans="1:17" x14ac:dyDescent="0.4">
      <c r="A91" s="1" t="s">
        <v>18</v>
      </c>
      <c r="B91" s="1" t="s">
        <v>0</v>
      </c>
      <c r="C91" s="1">
        <v>75</v>
      </c>
      <c r="D91" s="1" t="s">
        <v>1</v>
      </c>
      <c r="E91" s="1">
        <v>30</v>
      </c>
      <c r="O91" s="1">
        <v>369</v>
      </c>
      <c r="P91" s="1">
        <v>7.3918699186991903</v>
      </c>
      <c r="Q91" s="1">
        <v>3649.375</v>
      </c>
    </row>
    <row r="92" spans="1:17" x14ac:dyDescent="0.4">
      <c r="A92" s="1" t="s">
        <v>19</v>
      </c>
      <c r="B92" s="1" t="s">
        <v>0</v>
      </c>
      <c r="C92" s="1">
        <v>75</v>
      </c>
      <c r="D92" s="1" t="s">
        <v>1</v>
      </c>
      <c r="E92" s="1">
        <v>32</v>
      </c>
      <c r="O92" s="1">
        <v>353</v>
      </c>
      <c r="P92" s="1">
        <v>7.4895184135977297</v>
      </c>
      <c r="Q92" s="1">
        <v>3639.203</v>
      </c>
    </row>
    <row r="93" spans="1:17" x14ac:dyDescent="0.4">
      <c r="A93" s="1" t="s">
        <v>20</v>
      </c>
      <c r="B93" s="1" t="s">
        <v>0</v>
      </c>
      <c r="C93" s="1">
        <v>80</v>
      </c>
      <c r="D93" s="1" t="s">
        <v>1</v>
      </c>
      <c r="E93" s="1">
        <v>24</v>
      </c>
      <c r="O93" s="1">
        <v>558</v>
      </c>
      <c r="P93" s="1">
        <v>5.06129032258064</v>
      </c>
      <c r="Q93" s="1">
        <v>3639.5619999999999</v>
      </c>
    </row>
    <row r="94" spans="1:17" x14ac:dyDescent="0.4">
      <c r="A94" s="1" t="s">
        <v>21</v>
      </c>
      <c r="B94" s="1" t="s">
        <v>0</v>
      </c>
      <c r="C94" s="1">
        <v>80</v>
      </c>
      <c r="D94" s="1" t="s">
        <v>1</v>
      </c>
      <c r="E94" s="1">
        <v>26</v>
      </c>
      <c r="O94" s="1">
        <v>405</v>
      </c>
      <c r="P94" s="1">
        <v>7.0091358024691397</v>
      </c>
      <c r="Q94" s="1">
        <v>3629.5619999999999</v>
      </c>
    </row>
    <row r="95" spans="1:17" x14ac:dyDescent="0.4">
      <c r="A95" s="1" t="s">
        <v>22</v>
      </c>
      <c r="B95" s="1" t="s">
        <v>0</v>
      </c>
      <c r="C95" s="1">
        <v>80</v>
      </c>
      <c r="D95" s="1" t="s">
        <v>1</v>
      </c>
      <c r="E95" s="1">
        <v>28</v>
      </c>
      <c r="O95" s="1">
        <v>441</v>
      </c>
      <c r="P95" s="1">
        <v>6.5011337868480803</v>
      </c>
      <c r="Q95" s="1">
        <v>3634.578</v>
      </c>
    </row>
    <row r="96" spans="1:17" x14ac:dyDescent="0.4">
      <c r="A96" s="1" t="s">
        <v>23</v>
      </c>
      <c r="B96" s="1" t="s">
        <v>0</v>
      </c>
      <c r="C96" s="1">
        <v>80</v>
      </c>
      <c r="D96" s="1" t="s">
        <v>1</v>
      </c>
      <c r="E96" s="1">
        <v>30</v>
      </c>
      <c r="O96" s="1">
        <v>406</v>
      </c>
      <c r="P96" s="1">
        <v>7.7943349753694502</v>
      </c>
      <c r="Q96" s="1">
        <v>3626.7660000000001</v>
      </c>
    </row>
    <row r="97" spans="1:17" x14ac:dyDescent="0.4">
      <c r="A97" s="1" t="s">
        <v>24</v>
      </c>
      <c r="B97" s="1" t="s">
        <v>0</v>
      </c>
      <c r="C97" s="1">
        <v>80</v>
      </c>
      <c r="D97" s="1" t="s">
        <v>1</v>
      </c>
      <c r="E97" s="1">
        <v>32</v>
      </c>
      <c r="O97" s="1">
        <v>374</v>
      </c>
      <c r="P97" s="1">
        <v>9.0909090909090899</v>
      </c>
      <c r="Q97" s="1">
        <v>3614.125</v>
      </c>
    </row>
    <row r="98" spans="1:17" x14ac:dyDescent="0.4">
      <c r="A98" s="1" t="s">
        <v>25</v>
      </c>
      <c r="B98" s="1" t="s">
        <v>0</v>
      </c>
      <c r="C98" s="1">
        <v>85</v>
      </c>
      <c r="D98" s="1" t="s">
        <v>1</v>
      </c>
      <c r="E98" s="1">
        <v>24</v>
      </c>
      <c r="O98" s="1">
        <v>508</v>
      </c>
      <c r="P98" s="1">
        <v>5.9055118110236204</v>
      </c>
      <c r="Q98" s="1">
        <v>3697.2660000000001</v>
      </c>
    </row>
    <row r="99" spans="1:17" x14ac:dyDescent="0.4">
      <c r="A99" s="1" t="s">
        <v>26</v>
      </c>
      <c r="B99" s="1" t="s">
        <v>0</v>
      </c>
      <c r="C99" s="1">
        <v>85</v>
      </c>
      <c r="D99" s="1" t="s">
        <v>1</v>
      </c>
      <c r="E99" s="1">
        <v>26</v>
      </c>
      <c r="O99" s="1">
        <v>463</v>
      </c>
      <c r="P99" s="1">
        <v>6.4008639308855297</v>
      </c>
      <c r="Q99" s="1">
        <v>3615.078</v>
      </c>
    </row>
    <row r="100" spans="1:17" x14ac:dyDescent="0.4">
      <c r="A100" s="1" t="s">
        <v>27</v>
      </c>
      <c r="B100" s="1" t="s">
        <v>0</v>
      </c>
      <c r="C100" s="1">
        <v>85</v>
      </c>
      <c r="D100" s="1" t="s">
        <v>1</v>
      </c>
      <c r="E100" s="1">
        <v>28</v>
      </c>
      <c r="O100" s="1">
        <v>426</v>
      </c>
      <c r="P100" s="1">
        <v>8.0819248826290995</v>
      </c>
      <c r="Q100" s="1">
        <v>3635</v>
      </c>
    </row>
    <row r="101" spans="1:17" x14ac:dyDescent="0.4">
      <c r="A101" s="1" t="s">
        <v>28</v>
      </c>
      <c r="B101" s="1" t="s">
        <v>0</v>
      </c>
      <c r="C101" s="1">
        <v>85</v>
      </c>
      <c r="D101" s="1" t="s">
        <v>1</v>
      </c>
      <c r="E101" s="1">
        <v>30</v>
      </c>
      <c r="O101" s="1">
        <v>402</v>
      </c>
      <c r="P101" s="1">
        <v>8.1592039800995106</v>
      </c>
      <c r="Q101" s="1">
        <v>3612.8910000000001</v>
      </c>
    </row>
    <row r="102" spans="1:17" x14ac:dyDescent="0.4">
      <c r="A102" s="1" t="s">
        <v>29</v>
      </c>
      <c r="B102" s="1" t="s">
        <v>0</v>
      </c>
      <c r="C102" s="1">
        <v>85</v>
      </c>
      <c r="D102" s="1" t="s">
        <v>1</v>
      </c>
      <c r="E102" s="1">
        <v>32</v>
      </c>
      <c r="O102" s="1">
        <v>377</v>
      </c>
      <c r="P102" s="1">
        <v>8.2270557029177809</v>
      </c>
      <c r="Q102" s="1">
        <v>3610.6410000000001</v>
      </c>
    </row>
    <row r="103" spans="1:17" x14ac:dyDescent="0.4">
      <c r="C103" s="35" t="s">
        <v>35</v>
      </c>
      <c r="D103" s="36"/>
      <c r="E103" s="36"/>
      <c r="F103" s="1">
        <f>AVERAGE(F78:F102)</f>
        <v>600.88888888888903</v>
      </c>
      <c r="G103" s="1">
        <f t="shared" ref="G103:Q103" si="5">AVERAGE(G78:G102)</f>
        <v>79.931599689979393</v>
      </c>
      <c r="H103" s="1">
        <f t="shared" si="5"/>
        <v>3600.9272222222198</v>
      </c>
      <c r="I103" s="1">
        <f t="shared" si="5"/>
        <v>489.5</v>
      </c>
      <c r="J103" s="1">
        <f t="shared" si="5"/>
        <v>51.136005397263702</v>
      </c>
      <c r="K103" s="1">
        <f t="shared" si="5"/>
        <v>3600.7890000000002</v>
      </c>
      <c r="O103" s="1">
        <f t="shared" si="5"/>
        <v>395.36</v>
      </c>
      <c r="P103" s="1">
        <f t="shared" si="5"/>
        <v>7.4542499831660001</v>
      </c>
      <c r="Q103" s="1">
        <f t="shared" si="5"/>
        <v>3632.17184</v>
      </c>
    </row>
  </sheetData>
  <mergeCells count="29">
    <mergeCell ref="C103:E103"/>
    <mergeCell ref="A1:Q2"/>
    <mergeCell ref="A74:Q75"/>
    <mergeCell ref="A32:Q33"/>
    <mergeCell ref="B71:E71"/>
    <mergeCell ref="F76:H76"/>
    <mergeCell ref="I76:K76"/>
    <mergeCell ref="L76:N76"/>
    <mergeCell ref="O76:Q76"/>
    <mergeCell ref="L66:M66"/>
    <mergeCell ref="L67:M67"/>
    <mergeCell ref="L68:M68"/>
    <mergeCell ref="L69:M69"/>
    <mergeCell ref="L70:M70"/>
    <mergeCell ref="L59:M59"/>
    <mergeCell ref="L60:M60"/>
    <mergeCell ref="L61:M61"/>
    <mergeCell ref="L64:M64"/>
    <mergeCell ref="L65:M65"/>
    <mergeCell ref="F34:H34"/>
    <mergeCell ref="I34:K34"/>
    <mergeCell ref="L34:N34"/>
    <mergeCell ref="B30:E30"/>
    <mergeCell ref="O34:Q34"/>
    <mergeCell ref="L58:M58"/>
    <mergeCell ref="F3:H3"/>
    <mergeCell ref="I3:K3"/>
    <mergeCell ref="L3:N3"/>
    <mergeCell ref="O3:Q3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Detailed results of Fig.2.</vt:lpstr>
      <vt:lpstr>Detailed results of Table 3</vt:lpstr>
      <vt:lpstr>Detailed results of Table 4</vt:lpstr>
      <vt:lpstr>Detailed results of Fig.3.</vt:lpstr>
      <vt:lpstr>Detailed results of Table 5</vt:lpstr>
      <vt:lpstr>Detailed results of Fig.4.</vt:lpstr>
      <vt:lpstr>Detailed results of Table 6</vt:lpstr>
      <vt:lpstr>Detailed results of Tables 7-9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wangyun</dc:creator>
  <cp:lastModifiedBy>云 王</cp:lastModifiedBy>
  <dcterms:created xsi:type="dcterms:W3CDTF">2023-05-12T11:15:00Z</dcterms:created>
  <dcterms:modified xsi:type="dcterms:W3CDTF">2026-05-26T02:21:55Z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1B7FE7730BC54CF0B1B7E8A3312D8316_12</vt:lpwstr>
  </property>
  <property fmtid="{D5CDD505-2E9C-101B-9397-08002B2CF9AE}" pid="4" name="CalculationRule">
    <vt:i4>0</vt:i4>
  </property>
</Properties>
</file>